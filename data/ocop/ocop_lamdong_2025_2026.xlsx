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a2c358fdb4444a" /></Relationships>
</file>

<file path=xl/workbook.xml><?xml version="1.0" encoding="utf-8"?>
<x:workbook xmlns:x="http://schemas.openxmlformats.org/spreadsheetml/2006/main">
  <x:sheets>
    <x:sheet xmlns:r="http://schemas.openxmlformats.org/officeDocument/2006/relationships" name="README" sheetId="1" r:id="R470596cf26984f19"/>
    <x:sheet xmlns:r="http://schemas.openxmlformats.org/officeDocument/2006/relationships" name="PRODUCTS" sheetId="2" r:id="R63643dde6c1147c0"/>
    <x:sheet xmlns:r="http://schemas.openxmlformats.org/officeDocument/2006/relationships" name="SOURCES" sheetId="3" r:id="Rea7a4f0aa741480c"/>
    <x:sheet xmlns:r="http://schemas.openxmlformats.org/officeDocument/2006/relationships" name="ADMIN_MAPPING" sheetId="4" r:id="Rf7204a71bf534423"/>
    <x:sheet xmlns:r="http://schemas.openxmlformats.org/officeDocument/2006/relationships" name="ISSUES" sheetId="5" r:id="R264228f904624d9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6">
    <x:font>
      <x:sz val="11"/>
      <x:name val="Carlito"/>
    </x:font>
    <x:font>
      <x:b/>
      <x:sz val="18"/>
      <x:color rgb="FFFFFFFF"/>
      <x:name val="Segoe UI"/>
    </x:font>
    <x:font>
      <x:i/>
      <x:sz val="10"/>
      <x:color rgb="FF004F3B"/>
      <x:name val="Segoe UI"/>
    </x:font>
    <x:font>
      <x:sz val="9"/>
      <x:color rgb="FF0F172B"/>
      <x:name val="Segoe UI"/>
    </x:font>
    <x:font>
      <x:b/>
      <x:sz val="10"/>
      <x:color rgb="FF004F3B"/>
      <x:name val="Segoe UI"/>
    </x:font>
    <x:font>
      <x:b/>
      <x:sz val="10"/>
      <x:color rgb="FFFFFFFF"/>
      <x:name val="Segoe UI"/>
    </x:font>
  </x:fonts>
  <x:fills count="6">
    <x:fill>
      <x:patternFill patternType="none"/>
    </x:fill>
    <x:fill>
      <x:patternFill patternType="gray125"/>
    </x:fill>
    <x:fill>
      <x:patternFill patternType="solid">
        <x:fgColor rgb="FF004F3B"/>
      </x:patternFill>
    </x:fill>
    <x:fill>
      <x:patternFill patternType="solid">
        <x:fgColor rgb="FFDDF4EA"/>
      </x:patternFill>
    </x:fill>
    <x:fill>
      <x:patternFill patternType="solid">
        <x:fgColor rgb="FFF8FAFC"/>
      </x:patternFill>
    </x:fill>
    <x:fill>
      <x:patternFill patternType="solid">
        <x:fgColor rgb="FF006045"/>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3" fillId="0" borderId="1" xfId="0" applyNumberFormat="1" applyFont="1" applyFill="1" applyBorder="1" applyAlignment="1">
      <x:alignment vertical="top" wrapText="1"/>
    </x:xf>
    <x:xf numFmtId="201"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cellXfs>
  <x:cellStyles count="1">
    <x:cellStyle name="Normal" xfId="0"/>
  </x:cellStyles>
  <x:dxfs count="2">
    <x:dxf>
      <x:font>
        <x:b/>
        <x:color rgb="FFA4262C"/>
      </x:font>
      <x:fill>
        <x:patternFill patternType="solid">
          <x:bgColor rgb="FFFDE7E9"/>
        </x:patternFill>
      </x:fill>
    </x:dxf>
    <x:dxf>
      <x:font>
        <x:b/>
        <x:color rgb="FF8A6D00"/>
      </x:font>
      <x:fill>
        <x:patternFill patternType="solid">
          <x:bgColor rgb="FFFFF4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b55dea06264fcc" /><Relationship Type="http://schemas.openxmlformats.org/officeDocument/2006/relationships/theme" Target="/xl/theme/theme1.xml" Id="R89bf9a80461d4985" /><Relationship Type="http://schemas.microsoft.com/office/2022/11/relationships/FeaturePropertyBag" Target="/xl/featurePropertyBag/featurePropertyBag.xml" Id="R66e118747d8b4373" /><Relationship Type="http://schemas.openxmlformats.org/officeDocument/2006/relationships/sharedStrings" Target="/xl/sharedStrings.xml" Id="R2a63488021084ba6" /><Relationship Type="http://schemas.openxmlformats.org/officeDocument/2006/relationships/worksheet" Target="/xl/worksheets/sheet1.xml" Id="R470596cf26984f19" /><Relationship Type="http://schemas.openxmlformats.org/officeDocument/2006/relationships/worksheet" Target="/xl/worksheets/sheet2.xml" Id="R63643dde6c1147c0" /><Relationship Type="http://schemas.openxmlformats.org/officeDocument/2006/relationships/worksheet" Target="/xl/worksheets/sheet3.xml" Id="Rea7a4f0aa741480c" /><Relationship Type="http://schemas.openxmlformats.org/officeDocument/2006/relationships/worksheet" Target="/xl/worksheets/sheet4.xml" Id="Rf7204a71bf534423" /><Relationship Type="http://schemas.openxmlformats.org/officeDocument/2006/relationships/worksheet" Target="/xl/worksheets/sheet5.xml" Id="R264228f904624d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OcopProductsTable" displayName="OcopProductsTable" ref="A4:V64" headerRowCount="1" totalsRowCount="0" totalsRowShown="0">
  <x:tableColumns count="22">
    <x:tableColumn id="1" name="record_id"/>
    <x:tableColumn id="2" name="product_name"/>
    <x:tableColumn id="3" name="subject_name"/>
    <x:tableColumn id="4" name="category"/>
    <x:tableColumn id="5" name="star_rating"/>
    <x:tableColumn id="6" name="cert_year"/>
    <x:tableColumn id="7" name="decision_number"/>
    <x:tableColumn id="8" name="cert_issued_at"/>
    <x:tableColumn id="9" name="cert_expires_at"/>
    <x:tableColumn id="10" name="issuing_authority"/>
    <x:tableColumn id="11" name="original_address"/>
    <x:tableColumn id="12" name="current_address"/>
    <x:tableColumn id="13" name="legacy_region"/>
    <x:tableColumn id="14" name="current_commune"/>
    <x:tableColumn id="15" name="source_id"/>
    <x:tableColumn id="16" name="verification_level"/>
    <x:tableColumn id="17" name="verification_status"/>
    <x:tableColumn id="18" name="publish_eligible"/>
    <x:tableColumn id="19" name="description"/>
    <x:tableColumn id="20" name="image_source_url"/>
    <x:tableColumn id="21" name="image_permission"/>
    <x:tableColumn id="22" name="notes"/>
  </x:tableColumns>
  <x:tableStyleInfo name="TableStyleMedium4" showFirstColumn="0" showLastColumn="0" showRowStripes="1" showColumnStripes="0"/>
</x:table>
</file>

<file path=xl/tables/table2.xml><?xml version="1.0" encoding="utf-8"?>
<x:table xmlns:x="http://schemas.openxmlformats.org/spreadsheetml/2006/main" id="2" name="OcopSourcesTable" displayName="OcopSourcesTable" ref="A4:K21" headerRowCount="1" totalsRowCount="0" totalsRowShown="0">
  <x:tableColumns count="11">
    <x:tableColumn id="1" name="source_id"/>
    <x:tableColumn id="2" name="title"/>
    <x:tableColumn id="3" name="document_number"/>
    <x:tableColumn id="4" name="issuing_body"/>
    <x:tableColumn id="5" name="published_at"/>
    <x:tableColumn id="6" name="source_type"/>
    <x:tableColumn id="7" name="source_url"/>
    <x:tableColumn id="8" name="local_file"/>
    <x:tableColumn id="9" name="retrieved_at"/>
    <x:tableColumn id="10" name="sha256"/>
    <x:tableColumn id="11" name="verification_level"/>
  </x:tableColumns>
  <x:tableStyleInfo name="TableStyleMedium4" showFirstColumn="0" showLastColumn="0" showRowStripes="1" showColumnStripes="0"/>
</x:table>
</file>

<file path=xl/tables/table3.xml><?xml version="1.0" encoding="utf-8"?>
<x:table xmlns:x="http://schemas.openxmlformats.org/spreadsheetml/2006/main" id="3" name="AdminMappingTable" displayName="AdminMappingTable" ref="A4:G22" headerRowCount="1" totalsRowCount="0" totalsRowShown="0">
  <x:tableColumns count="7">
    <x:tableColumn id="1" name="old_province"/>
    <x:tableColumn id="2" name="old_district"/>
    <x:tableColumn id="3" name="old_commune"/>
    <x:tableColumn id="4" name="current_province"/>
    <x:tableColumn id="5" name="current_commune"/>
    <x:tableColumn id="6" name="legal_source"/>
    <x:tableColumn id="7" name="verified_at"/>
  </x:tableColumns>
  <x:tableStyleInfo name="TableStyleMedium4" showFirstColumn="0" showLastColumn="0" showRowStripes="1" showColumnStripes="0"/>
</x:table>
</file>

<file path=xl/tables/table4.xml><?xml version="1.0" encoding="utf-8"?>
<x:table xmlns:x="http://schemas.openxmlformats.org/spreadsheetml/2006/main" id="4" name="OcopIssuesTable" displayName="OcopIssuesTable" ref="A4:H14" headerRowCount="1" totalsRowCount="0" totalsRowShown="0">
  <x:tableColumns count="8">
    <x:tableColumn id="1" name="issue_id"/>
    <x:tableColumn id="2" name="record_or_batch"/>
    <x:tableColumn id="3" name="issue_type"/>
    <x:tableColumn id="4" name="severity"/>
    <x:tableColumn id="5" name="description"/>
    <x:tableColumn id="6" name="recommended_action"/>
    <x:tableColumn id="7" name="source_id"/>
    <x:tableColumn id="8" name="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7b4457ce9ca40de" /></Relationships>
</file>

<file path=xl/worksheets/_rels/sheet3.xml.rels>&#65279;<?xml version="1.0" encoding="utf-8"?><Relationships xmlns="http://schemas.openxmlformats.org/package/2006/relationships"><Relationship Type="http://schemas.openxmlformats.org/officeDocument/2006/relationships/table" Target="/xl/tables/table2.xml" Id="R529816f75c5a4c19" /></Relationships>
</file>

<file path=xl/worksheets/_rels/sheet4.xml.rels>&#65279;<?xml version="1.0" encoding="utf-8"?><Relationships xmlns="http://schemas.openxmlformats.org/package/2006/relationships"><Relationship Type="http://schemas.openxmlformats.org/officeDocument/2006/relationships/table" Target="/xl/tables/table3.xml" Id="R2917037197dd4051" /></Relationships>
</file>

<file path=xl/worksheets/_rels/sheet5.xml.rels>&#65279;<?xml version="1.0" encoding="utf-8"?><Relationships xmlns="http://schemas.openxmlformats.org/package/2006/relationships"><Relationship Type="http://schemas.openxmlformats.org/officeDocument/2006/relationships/table" Target="/xl/tables/table4.xml" Id="R0632712923194790" /></Relationships>
</file>

<file path=xl/worksheets/sheet1.xml><?xml version="1.0" encoding="utf-8"?>
<x:worksheet xmlns:x="http://schemas.openxmlformats.org/spreadsheetml/2006/main">
  <x:sheetPr>
    <x:tabColor rgb="FF004F3B"/>
  </x:sheetPr>
  <x:sheetViews>
    <x:sheetView showGridLines="0" workbookViewId="0">
      <x:pane ySplit="2" topLeftCell="A3" activePane="bottomLeft" state="frozen"/>
    </x:sheetView>
  </x:sheetViews>
  <x:sheetFormatPr defaultRowHeight="15"/>
  <x:cols>
    <x:col min="1" max="1" width="19" hidden="0" customWidth="1"/>
    <x:col min="2" max="2" width="62" hidden="0" customWidth="1"/>
    <x:col min="3" max="3" width="22" hidden="0" customWidth="1"/>
    <x:col min="4" max="4" width="22" hidden="0" customWidth="1"/>
    <x:col min="5" max="5" width="22" hidden="0" customWidth="1"/>
    <x:col min="6" max="6" width="22" hidden="0" customWidth="1"/>
  </x:cols>
  <x:sheetData>
    <x:row r="1" ht="34" customHeight="1">
      <x:c r="A1" s="3" t="str">
        <x:v>BỘ DỮ LIỆU MẪU OCOP LÂM ĐỒNG 2025–2026</x:v>
      </x:c>
      <x:c r="B1" s="3"/>
      <x:c r="C1" s="3"/>
      <x:c r="D1" s="3"/>
      <x:c r="E1" s="3"/>
      <x:c r="F1" s="3"/>
    </x:row>
    <x:row r="2" ht="30" customHeight="1">
      <x:c r="A2" s="7" t="str">
        <x:v>Chốt dữ liệu ngày 2026-09-10 · Dùng cho đồ án và kiểm thử</x:v>
      </x:c>
      <x:c r="B2" s="7"/>
      <x:c r="C2" s="7"/>
      <x:c r="D2" s="7"/>
      <x:c r="E2" s="7"/>
      <x:c r="F2" s="7"/>
    </x:row>
    <x:row r="4" ht="34" customHeight="1">
      <x:c r="A4" s="13" t="str">
        <x:v>Phạm vi</x:v>
      </x:c>
      <x:c r="B4" s="11" t="str">
        <x:v>Tỉnh Lâm Đồng sau sắp xếp, gồm khu vực Lâm Đồng, Bình Thuận và Đắk Nông trước đây</x:v>
      </x:c>
      <x:c r="D4" s="18" t="str">
        <x:v>Chỉ số</x:v>
      </x:c>
      <x:c r="E4" s="18" t="str">
        <x:v>Giá trị</x:v>
      </x:c>
    </x:row>
    <x:row r="5">
      <x:c r="A5" s="13" t="str">
        <x:v>Thời gian nguồn</x:v>
      </x:c>
      <x:c r="B5" s="11" t="str">
        <x:v>Nguồn được công bố từ 01/01/2025 đến ngày chốt dữ liệu; năm chứng nhận được giữ đúng theo nguồn.</x:v>
      </x:c>
      <x:c r="D5" s="11" t="str">
        <x:v>Tổng sản phẩm</x:v>
      </x:c>
      <x:c r="E5" s="11" t="n">
        <x:f>COUNTA(PRODUCTS!A5:A200)</x:f>
        <x:v>60</x:v>
      </x:c>
    </x:row>
    <x:row r="6">
      <x:c r="A6" s="13" t="str">
        <x:v>Phương pháp</x:v>
      </x:c>
      <x:c r="B6" s="11" t="str">
        <x:v>Ưu tiên quyết định có phụ lục; đối chiếu báo/cổng cơ quan nhà nước; lưu địa chỉ gốc và chỉ ghi địa chỉ hiện hành khi có căn cứ pháp lý.</x:v>
      </x:c>
      <x:c r="D6" s="11" t="str">
        <x:v>Nguồn cấp A</x:v>
      </x:c>
      <x:c r="E6" s="11" t="n">
        <x:f>COUNTIF(PRODUCTS!P5:P200,"A")</x:f>
        <x:v>24</x:v>
      </x:c>
    </x:row>
    <x:row r="7">
      <x:c r="A7" s="13" t="str">
        <x:v>Ảnh</x:v>
      </x:c>
      <x:c r="B7" s="11" t="str">
        <x:v>Không tải hàng loạt ảnh báo chí. Khi chưa có quyền sử dụng rõ ràng, hệ thống dùng ảnh placeholder.</x:v>
      </x:c>
      <x:c r="D7" s="11" t="str">
        <x:v>Nguồn cấp B1</x:v>
      </x:c>
      <x:c r="E7" s="11" t="n">
        <x:f>COUNTIF(PRODUCTS!P5:P200,"B1")</x:f>
        <x:v>36</x:v>
      </x:c>
    </x:row>
    <x:row r="8">
      <x:c r="A8" s="13" t="str">
        <x:v>Tuyên bố</x:v>
      </x:c>
      <x:c r="B8" s="11" t="str">
        <x:v>Dữ liệu phục vụ đồ án và kiểm thử, không thay thế cơ sở dữ liệu hành chính chính thức.</x:v>
      </x:c>
      <x:c r="D8" s="11" t="str">
        <x:v>Sản phẩm 3 sao</x:v>
      </x:c>
      <x:c r="E8" s="11" t="n">
        <x:f>COUNTIF(PRODUCTS!E5:E200,3)</x:f>
        <x:v>44</x:v>
      </x:c>
    </x:row>
    <x:row r="9">
      <x:c r="A9" s="13" t="str">
        <x:v>Cấu trúc</x:v>
      </x:c>
      <x:c r="B9" s="11" t="str">
        <x:v>PRODUCTS: sản phẩm; SOURCES: nguồn; ADMIN_MAPPING: ánh xạ địa chỉ; ISSUES: vấn đề cần xác minh.</x:v>
      </x:c>
      <x:c r="D9" s="11" t="str">
        <x:v>Sản phẩm 4 sao</x:v>
      </x:c>
      <x:c r="E9" s="11" t="n">
        <x:f>COUNTIF(PRODUCTS!E5:E200,4)</x:f>
        <x:v>16</x:v>
      </x:c>
    </x:row>
    <x:row r="10">
      <x:c r="D10" s="11" t="str">
        <x:v>Đủ điều kiện công khai</x:v>
      </x:c>
      <x:c r="E10" s="11" t="n">
        <x:f>COUNTIF(PRODUCTS!P5:P200,"A")+COUNTIF(PRODUCTS!P5:P200,"B1")</x:f>
        <x:v>60</x:v>
      </x:c>
    </x:row>
    <x:row r="12" ht="34" customHeight="1">
      <x:c r="A12" s="18" t="str">
        <x:v>Cấp nguồn</x:v>
      </x:c>
      <x:c r="B12" s="18" t="str">
        <x:v>Ý nghĩa</x:v>
      </x:c>
      <x:c r="C12" s="18" t="str">
        <x:v>Được xác nhận sao?</x:v>
      </x:c>
      <x:c r="D12" s="18" t="str">
        <x:v>Công khai?</x:v>
      </x:c>
      <x:c r="E12" s="18" t="str">
        <x:v>Ví dụ</x:v>
      </x:c>
      <x:c r="F12" s="18" t="str">
        <x:v>Lưu ý</x:v>
      </x:c>
    </x:row>
    <x:row r="13">
      <x:c r="A13" s="11" t="str">
        <x:v>A</x:v>
      </x:c>
      <x:c r="B13" s="11" t="str">
        <x:v>Quyết định chính thức có chữ ký/phụ lục</x:v>
      </x:c>
      <x:c r="C13" s="11" t="str">
        <x:v>Có</x:v>
      </x:c>
      <x:c r="D13" s="11" t="str">
        <x:v>Có</x:v>
      </x:c>
      <x:c r="E13" s="11" t="str">
        <x:v>3981/QĐ-UBND</x:v>
      </x:c>
      <x:c r="F13" s="11" t="str">
        <x:v>Ưu tiên cao nhất</x:v>
      </x:c>
    </x:row>
    <x:row r="14">
      <x:c r="A14" s="11" t="str">
        <x:v>B1</x:v>
      </x:c>
      <x:c r="B14" s="11" t="str">
        <x:v>Báo/cổng nhà nước xác nhận đã công nhận/trao giấy</x:v>
      </x:c>
      <x:c r="C14" s="11" t="str">
        <x:v>Có, theo nội dung nguồn</x:v>
      </x:c>
      <x:c r="D14" s="11" t="str">
        <x:v>Có thể</x:v>
      </x:c>
      <x:c r="E14" s="11" t="str">
        <x:v>Báo Lâm Đồng</x:v>
      </x:c>
      <x:c r="F14" s="11" t="str">
        <x:v>Cần bổ sung quyết định khi tìm được</x:v>
      </x:c>
    </x:row>
    <x:row r="15">
      <x:c r="A15" s="11" t="str">
        <x:v>B2</x:v>
      </x:c>
      <x:c r="B15" s="11" t="str">
        <x:v>Đề xuất, đánh giá hoặc chấm điểm</x:v>
      </x:c>
      <x:c r="C15" s="11" t="str">
        <x:v>Chưa</x:v>
      </x:c>
      <x:c r="D15" s="11" t="str">
        <x:v>Không</x:v>
      </x:c>
      <x:c r="E15" s="11" t="str">
        <x:v>Bài đánh giá</x:v>
      </x:c>
      <x:c r="F15" s="11" t="str">
        <x:v>Chỉ dùng trạng thái pending</x:v>
      </x:c>
    </x:row>
    <x:row r="16">
      <x:c r="A16" s="11" t="str">
        <x:v>C</x:v>
      </x:c>
      <x:c r="B16" s="11" t="str">
        <x:v>Website chủ thể</x:v>
      </x:c>
      <x:c r="C16" s="11" t="str">
        <x:v>Không</x:v>
      </x:c>
      <x:c r="D16" s="11" t="str">
        <x:v>Không tự xác nhận</x:v>
      </x:c>
      <x:c r="E16" s="11" t="str">
        <x:v>Trang sản phẩm</x:v>
      </x:c>
      <x:c r="F16" s="11" t="str">
        <x:v>Chỉ bổ sung mô tả/quy cách/ảnh</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Pr>
    <x:tabColor rgb="FF006045"/>
  </x:sheetPr>
  <x:sheetViews>
    <x:sheetView showGridLines="0" workbookViewId="0">
      <x:pane xSplit="2" ySplit="4" topLeftCell="C5" activePane="bottomRight" state="frozen"/>
    </x:sheetView>
  </x:sheetViews>
  <x:sheetFormatPr defaultRowHeight="15"/>
  <x:cols>
    <x:col min="1" max="1" width="15" hidden="0" customWidth="1"/>
    <x:col min="2" max="2" width="30" hidden="0" customWidth="1"/>
    <x:col min="3" max="3" width="30" hidden="0" customWidth="1"/>
    <x:col min="4" max="4" width="15" hidden="0" customWidth="1"/>
    <x:col min="5" max="5" width="15" hidden="0" customWidth="1"/>
    <x:col min="6" max="6" width="15" hidden="0" customWidth="1"/>
    <x:col min="7" max="7" width="18" hidden="0" customWidth="1"/>
    <x:col min="8" max="8" width="18" hidden="0" customWidth="1"/>
    <x:col min="9" max="9" width="18" hidden="0" customWidth="1"/>
    <x:col min="10" max="10" width="18" hidden="0" customWidth="1"/>
    <x:col min="11" max="11" width="42" hidden="0" customWidth="1"/>
    <x:col min="12" max="12" width="42" hidden="0" customWidth="1"/>
    <x:col min="13" max="13" width="15" hidden="0" customWidth="1"/>
    <x:col min="14" max="14" width="15" hidden="0" customWidth="1"/>
    <x:col min="15" max="15" width="15" hidden="0" customWidth="1"/>
    <x:col min="16" max="16" width="15" hidden="0" customWidth="1"/>
    <x:col min="17" max="17" width="26" hidden="0" customWidth="1"/>
    <x:col min="18" max="18" width="15" hidden="0" customWidth="1"/>
    <x:col min="19" max="19" width="46" hidden="0" customWidth="1"/>
    <x:col min="20" max="20" width="28" hidden="0" customWidth="1"/>
    <x:col min="21" max="21" width="15" hidden="0" customWidth="1"/>
    <x:col min="22" max="22" width="55" hidden="0" customWidth="1"/>
  </x:cols>
  <x:sheetData>
    <x:row r="1" ht="34" customHeight="1">
      <x:c r="A1" s="3" t="str">
        <x:v>DANH SÁCH SẢN PHẨM OCOP</x:v>
      </x:c>
      <x:c r="B1" s="3"/>
      <x:c r="C1" s="3"/>
      <x:c r="D1" s="3"/>
      <x:c r="E1" s="3"/>
      <x:c r="F1" s="3"/>
      <x:c r="G1" s="3"/>
      <x:c r="H1" s="3"/>
      <x:c r="I1" s="3"/>
      <x:c r="J1" s="3"/>
      <x:c r="K1" s="3"/>
      <x:c r="L1" s="3"/>
      <x:c r="M1" s="3"/>
      <x:c r="N1" s="3"/>
      <x:c r="O1" s="3"/>
      <x:c r="P1" s="3"/>
      <x:c r="Q1" s="3"/>
      <x:c r="R1" s="3"/>
      <x:c r="S1" s="3"/>
      <x:c r="T1" s="3"/>
      <x:c r="U1" s="3"/>
      <x:c r="V1" s="3"/>
    </x:row>
    <x:row r="2" ht="30" customHeight="1">
      <x:c r="A2" s="7" t="str">
        <x:v>60 bản ghi chuẩn hóa; dữ liệu rỗng thể hiện nguồn chưa công bố, không phải giá trị bằng 0.</x:v>
      </x:c>
      <x:c r="B2" s="7"/>
      <x:c r="C2" s="7"/>
      <x:c r="D2" s="7"/>
      <x:c r="E2" s="7"/>
      <x:c r="F2" s="7"/>
      <x:c r="G2" s="7"/>
      <x:c r="H2" s="7"/>
      <x:c r="I2" s="7"/>
      <x:c r="J2" s="7"/>
      <x:c r="K2" s="7"/>
      <x:c r="L2" s="7"/>
      <x:c r="M2" s="7"/>
      <x:c r="N2" s="7"/>
      <x:c r="O2" s="7"/>
      <x:c r="P2" s="7"/>
      <x:c r="Q2" s="7"/>
      <x:c r="R2" s="7"/>
      <x:c r="S2" s="7"/>
      <x:c r="T2" s="7"/>
      <x:c r="U2" s="7"/>
      <x:c r="V2" s="7"/>
    </x:row>
    <x:row r="4" ht="34" customHeight="1">
      <x:c r="A4" s="18" t="str">
        <x:v>record_id</x:v>
      </x:c>
      <x:c r="B4" s="18" t="str">
        <x:v>product_name</x:v>
      </x:c>
      <x:c r="C4" s="18" t="str">
        <x:v>subject_name</x:v>
      </x:c>
      <x:c r="D4" s="18" t="str">
        <x:v>category</x:v>
      </x:c>
      <x:c r="E4" s="18" t="str">
        <x:v>star_rating</x:v>
      </x:c>
      <x:c r="F4" s="18" t="str">
        <x:v>cert_year</x:v>
      </x:c>
      <x:c r="G4" s="18" t="str">
        <x:v>decision_number</x:v>
      </x:c>
      <x:c r="H4" s="18" t="str">
        <x:v>cert_issued_at</x:v>
      </x:c>
      <x:c r="I4" s="18" t="str">
        <x:v>cert_expires_at</x:v>
      </x:c>
      <x:c r="J4" s="18" t="str">
        <x:v>issuing_authority</x:v>
      </x:c>
      <x:c r="K4" s="18" t="str">
        <x:v>original_address</x:v>
      </x:c>
      <x:c r="L4" s="18" t="str">
        <x:v>current_address</x:v>
      </x:c>
      <x:c r="M4" s="18" t="str">
        <x:v>legacy_region</x:v>
      </x:c>
      <x:c r="N4" s="18" t="str">
        <x:v>current_commune</x:v>
      </x:c>
      <x:c r="O4" s="18" t="str">
        <x:v>source_id</x:v>
      </x:c>
      <x:c r="P4" s="18" t="str">
        <x:v>verification_level</x:v>
      </x:c>
      <x:c r="Q4" s="18" t="str">
        <x:v>verification_status</x:v>
      </x:c>
      <x:c r="R4" s="18" t="str">
        <x:v>publish_eligible</x:v>
      </x:c>
      <x:c r="S4" s="18" t="str">
        <x:v>description</x:v>
      </x:c>
      <x:c r="T4" s="18" t="str">
        <x:v>image_source_url</x:v>
      </x:c>
      <x:c r="U4" s="18" t="str">
        <x:v>image_permission</x:v>
      </x:c>
      <x:c r="V4" s="18" t="str">
        <x:v>notes</x:v>
      </x:c>
    </x:row>
    <x:row r="5">
      <x:c r="A5" s="11" t="str">
        <x:v>OCOP-2026-3981-001</x:v>
      </x:c>
      <x:c r="B5" s="11" t="str">
        <x:v>Mắm nêm Seagull</x:v>
      </x:c>
      <x:c r="C5" s="11" t="str">
        <x:v>Công ty TNHH Seagull</x:v>
      </x:c>
      <x:c r="D5" s="11" t="str">
        <x:v>Thực phẩm</x:v>
      </x:c>
      <x:c r="E5" s="24" t="n">
        <x:v>3</x:v>
      </x:c>
      <x:c r="F5" s="24" t="n">
        <x:v>2026</x:v>
      </x:c>
      <x:c r="G5" s="11" t="str">
        <x:v>3981/QĐ-UBND</x:v>
      </x:c>
      <x:c r="H5" s="25" t="n">
        <x:v>46239</x:v>
      </x:c>
      <x:c r="I5" s="25" t="n">
        <x:v>47335</x:v>
      </x:c>
      <x:c r="J5" s="11" t="str">
        <x:v>UBND tỉnh Lâm Đồng</x:v>
      </x:c>
      <x:c r="K5" s="11" t="str">
        <x:v>Số 08 Nguyễn Trãi, phường Phan Thiết, tỉnh Lâm Đồng</x:v>
      </x:c>
      <x:c r="L5" s="11" t="str">
        <x:v>Số 08 Nguyễn Trãi, phường Phan Thiết, tỉnh Lâm Đồng</x:v>
      </x:c>
      <x:c r="M5" s="11" t="str">
        <x:v>Tỉnh Lâm Đồng sau sắp xếp</x:v>
      </x:c>
      <x:c r="N5" s="11" t="str">
        <x:v>phường Phan Thiết</x:v>
      </x:c>
      <x:c r="O5" s="11" t="str">
        <x:v>SRC-A-3981-2026</x:v>
      </x:c>
      <x:c r="P5" s="11" t="str">
        <x:v>A</x:v>
      </x:c>
      <x:c r="Q5" s="11" t="str">
        <x:v>verified_official_decision</x:v>
      </x:c>
      <x:c r="R5" s="26" t="b">
        <x:v>1</x:v>
      </x:c>
      <x:c r="S5" s="11" t="str">
        <x:v>Sản phẩm OCOP Mắm nêm Seagull của Công ty TNHH Seagull. Thông tin mô tả đang được hoàn thiện từ nguồn do chủ thể cung cấp.</x:v>
      </x:c>
      <x:c r="T5" s="11" t="str"/>
      <x:c r="U5" s="11" t="str">
        <x:v>placeholder_only</x:v>
      </x:c>
      <x:c r="V5" s="11" t="str"/>
    </x:row>
    <x:row r="6">
      <x:c r="A6" s="11" t="str">
        <x:v>OCOP-2026-3981-002</x:v>
      </x:c>
      <x:c r="B6" s="11" t="str">
        <x:v>Nấm Fresh Cordyceps Vietnam (Nấm tươi)</x:v>
      </x:c>
      <x:c r="C6" s="11" t="str">
        <x:v>Chi nhánh Công ty TNHH Nông Nghiệp Ceres</x:v>
      </x:c>
      <x:c r="D6" s="11" t="str">
        <x:v>Thảo dược</x:v>
      </x:c>
      <x:c r="E6" s="24" t="n">
        <x:v>3</x:v>
      </x:c>
      <x:c r="F6" s="24" t="n">
        <x:v>2026</x:v>
      </x:c>
      <x:c r="G6" s="11" t="str">
        <x:v>3981/QĐ-UBND</x:v>
      </x:c>
      <x:c r="H6" s="25" t="n">
        <x:v>46239</x:v>
      </x:c>
      <x:c r="I6" s="25" t="n">
        <x:v>47335</x:v>
      </x:c>
      <x:c r="J6" s="11" t="str">
        <x:v>UBND tỉnh Lâm Đồng</x:v>
      </x:c>
      <x:c r="K6" s="11" t="str">
        <x:v>Thôn Kinh tế mới, xã Ninh Gia, tỉnh Lâm Đồng</x:v>
      </x:c>
      <x:c r="L6" s="11" t="str">
        <x:v>Thôn Kinh tế mới, xã Ninh Gia, tỉnh Lâm Đồng</x:v>
      </x:c>
      <x:c r="M6" s="11" t="str">
        <x:v>Tỉnh Lâm Đồng sau sắp xếp</x:v>
      </x:c>
      <x:c r="N6" s="11" t="str">
        <x:v>xã Ninh Gia</x:v>
      </x:c>
      <x:c r="O6" s="11" t="str">
        <x:v>SRC-A-3981-2026</x:v>
      </x:c>
      <x:c r="P6" s="11" t="str">
        <x:v>A</x:v>
      </x:c>
      <x:c r="Q6" s="11" t="str">
        <x:v>verified_official_decision</x:v>
      </x:c>
      <x:c r="R6" s="26" t="b">
        <x:v>1</x:v>
      </x:c>
      <x:c r="S6" s="11" t="str">
        <x:v>Sản phẩm OCOP Nấm Fresh Cordyceps Vietnam (Nấm tươi) của Chi nhánh Công ty TNHH Nông Nghiệp Ceres. Thông tin mô tả đang được hoàn thiện từ nguồn do chủ thể cung cấp.</x:v>
      </x:c>
      <x:c r="T6" s="11" t="str"/>
      <x:c r="U6" s="11" t="str">
        <x:v>placeholder_only</x:v>
      </x:c>
      <x:c r="V6" s="11" t="str"/>
    </x:row>
    <x:row r="7">
      <x:c r="A7" s="11" t="str">
        <x:v>OCOP-2026-3981-003</x:v>
      </x:c>
      <x:c r="B7" s="11" t="str">
        <x:v>Nấm Cordyceps Vietnam (Nấm khô sấy thăng hoa)</x:v>
      </x:c>
      <x:c r="C7" s="11" t="str">
        <x:v>Chi nhánh Công ty TNHH Nông Nghiệp Ceres</x:v>
      </x:c>
      <x:c r="D7" s="11" t="str">
        <x:v>Thảo dược</x:v>
      </x:c>
      <x:c r="E7" s="24" t="n">
        <x:v>3</x:v>
      </x:c>
      <x:c r="F7" s="24" t="n">
        <x:v>2026</x:v>
      </x:c>
      <x:c r="G7" s="11" t="str">
        <x:v>3981/QĐ-UBND</x:v>
      </x:c>
      <x:c r="H7" s="25" t="n">
        <x:v>46239</x:v>
      </x:c>
      <x:c r="I7" s="25" t="n">
        <x:v>47335</x:v>
      </x:c>
      <x:c r="J7" s="11" t="str">
        <x:v>UBND tỉnh Lâm Đồng</x:v>
      </x:c>
      <x:c r="K7" s="11" t="str">
        <x:v>Thôn Kinh tế mới, xã Ninh Gia, tỉnh Lâm Đồng</x:v>
      </x:c>
      <x:c r="L7" s="11" t="str">
        <x:v>Thôn Kinh tế mới, xã Ninh Gia, tỉnh Lâm Đồng</x:v>
      </x:c>
      <x:c r="M7" s="11" t="str">
        <x:v>Tỉnh Lâm Đồng sau sắp xếp</x:v>
      </x:c>
      <x:c r="N7" s="11" t="str">
        <x:v>xã Ninh Gia</x:v>
      </x:c>
      <x:c r="O7" s="11" t="str">
        <x:v>SRC-A-3981-2026</x:v>
      </x:c>
      <x:c r="P7" s="11" t="str">
        <x:v>A</x:v>
      </x:c>
      <x:c r="Q7" s="11" t="str">
        <x:v>verified_official_decision</x:v>
      </x:c>
      <x:c r="R7" s="26" t="b">
        <x:v>1</x:v>
      </x:c>
      <x:c r="S7" s="11" t="str">
        <x:v>Sản phẩm OCOP Nấm Cordyceps Vietnam (Nấm khô sấy thăng hoa) của Chi nhánh Công ty TNHH Nông Nghiệp Ceres. Thông tin mô tả đang được hoàn thiện từ nguồn do chủ thể cung cấp.</x:v>
      </x:c>
      <x:c r="T7" s="11" t="str"/>
      <x:c r="U7" s="11" t="str">
        <x:v>placeholder_only</x:v>
      </x:c>
      <x:c r="V7" s="11" t="str"/>
    </x:row>
    <x:row r="8">
      <x:c r="A8" s="11" t="str">
        <x:v>OCOP-2026-3981-004</x:v>
      </x:c>
      <x:c r="B8" s="11" t="str">
        <x:v>beCHAMP Coffee Natural Nắng Vàng</x:v>
      </x:c>
      <x:c r="C8" s="11" t="str">
        <x:v>Hợp tác xã Nông sản Hữu cơ Bechamp Đắk Nông</x:v>
      </x:c>
      <x:c r="D8" s="11" t="str">
        <x:v>Đồ uống</x:v>
      </x:c>
      <x:c r="E8" s="24" t="n">
        <x:v>3</x:v>
      </x:c>
      <x:c r="F8" s="24" t="n">
        <x:v>2026</x:v>
      </x:c>
      <x:c r="G8" s="11" t="str">
        <x:v>3981/QĐ-UBND</x:v>
      </x:c>
      <x:c r="H8" s="25" t="n">
        <x:v>46239</x:v>
      </x:c>
      <x:c r="I8" s="25" t="n">
        <x:v>47335</x:v>
      </x:c>
      <x:c r="J8" s="11" t="str">
        <x:v>UBND tỉnh Lâm Đồng</x:v>
      </x:c>
      <x:c r="K8" s="11" t="str">
        <x:v>Thôn 10, xã Trường Xuân, tỉnh Lâm Đồng</x:v>
      </x:c>
      <x:c r="L8" s="11" t="str">
        <x:v>Thôn 10, xã Trường Xuân, tỉnh Lâm Đồng</x:v>
      </x:c>
      <x:c r="M8" s="11" t="str">
        <x:v>Tỉnh Lâm Đồng sau sắp xếp</x:v>
      </x:c>
      <x:c r="N8" s="11" t="str">
        <x:v>xã Trường Xuân</x:v>
      </x:c>
      <x:c r="O8" s="11" t="str">
        <x:v>SRC-A-3981-2026</x:v>
      </x:c>
      <x:c r="P8" s="11" t="str">
        <x:v>A</x:v>
      </x:c>
      <x:c r="Q8" s="11" t="str">
        <x:v>verified_official_decision</x:v>
      </x:c>
      <x:c r="R8" s="26" t="b">
        <x:v>1</x:v>
      </x:c>
      <x:c r="S8" s="11" t="str">
        <x:v>Sản phẩm OCOP beCHAMP Coffee Natural Nắng Vàng của Hợp tác xã Nông sản Hữu cơ Bechamp Đắk Nông. Thông tin mô tả đang được hoàn thiện từ nguồn do chủ thể cung cấp.</x:v>
      </x:c>
      <x:c r="T8" s="11" t="str"/>
      <x:c r="U8" s="11" t="str">
        <x:v>placeholder_only</x:v>
      </x:c>
      <x:c r="V8" s="11" t="str"/>
    </x:row>
    <x:row r="9">
      <x:c r="A9" s="11" t="str">
        <x:v>OCOP-2026-3981-005</x:v>
      </x:c>
      <x:c r="B9" s="11" t="str">
        <x:v>beCHAMP Coffee Gu Mạnh</x:v>
      </x:c>
      <x:c r="C9" s="11" t="str">
        <x:v>Hợp tác xã Nông sản Hữu cơ Bechamp Đắk Nông</x:v>
      </x:c>
      <x:c r="D9" s="11" t="str">
        <x:v>Đồ uống</x:v>
      </x:c>
      <x:c r="E9" s="24" t="n">
        <x:v>3</x:v>
      </x:c>
      <x:c r="F9" s="24" t="n">
        <x:v>2026</x:v>
      </x:c>
      <x:c r="G9" s="11" t="str">
        <x:v>3981/QĐ-UBND</x:v>
      </x:c>
      <x:c r="H9" s="25" t="n">
        <x:v>46239</x:v>
      </x:c>
      <x:c r="I9" s="25" t="n">
        <x:v>47335</x:v>
      </x:c>
      <x:c r="J9" s="11" t="str">
        <x:v>UBND tỉnh Lâm Đồng</x:v>
      </x:c>
      <x:c r="K9" s="11" t="str">
        <x:v>Thôn 10, xã Trường Xuân, tỉnh Lâm Đồng</x:v>
      </x:c>
      <x:c r="L9" s="11" t="str">
        <x:v>Thôn 10, xã Trường Xuân, tỉnh Lâm Đồng</x:v>
      </x:c>
      <x:c r="M9" s="11" t="str">
        <x:v>Tỉnh Lâm Đồng sau sắp xếp</x:v>
      </x:c>
      <x:c r="N9" s="11" t="str">
        <x:v>xã Trường Xuân</x:v>
      </x:c>
      <x:c r="O9" s="11" t="str">
        <x:v>SRC-A-3981-2026</x:v>
      </x:c>
      <x:c r="P9" s="11" t="str">
        <x:v>A</x:v>
      </x:c>
      <x:c r="Q9" s="11" t="str">
        <x:v>verified_official_decision</x:v>
      </x:c>
      <x:c r="R9" s="26" t="b">
        <x:v>1</x:v>
      </x:c>
      <x:c r="S9" s="11" t="str">
        <x:v>Sản phẩm OCOP beCHAMP Coffee Gu Mạnh của Hợp tác xã Nông sản Hữu cơ Bechamp Đắk Nông. Thông tin mô tả đang được hoàn thiện từ nguồn do chủ thể cung cấp.</x:v>
      </x:c>
      <x:c r="T9" s="11" t="str"/>
      <x:c r="U9" s="11" t="str">
        <x:v>placeholder_only</x:v>
      </x:c>
      <x:c r="V9" s="11" t="str"/>
    </x:row>
    <x:row r="10">
      <x:c r="A10" s="11" t="str">
        <x:v>OCOP-2026-3981-006</x:v>
      </x:c>
      <x:c r="B10" s="11" t="str">
        <x:v>Bechamp Coffee Hòa Tan Nấm Linh Chi</x:v>
      </x:c>
      <x:c r="C10" s="11" t="str">
        <x:v>Hợp tác xã Nông sản Hữu cơ Bechamp Đắk Nông</x:v>
      </x:c>
      <x:c r="D10" s="11" t="str">
        <x:v>Đồ uống</x:v>
      </x:c>
      <x:c r="E10" s="24" t="n">
        <x:v>3</x:v>
      </x:c>
      <x:c r="F10" s="24" t="n">
        <x:v>2026</x:v>
      </x:c>
      <x:c r="G10" s="11" t="str">
        <x:v>3981/QĐ-UBND</x:v>
      </x:c>
      <x:c r="H10" s="25" t="n">
        <x:v>46239</x:v>
      </x:c>
      <x:c r="I10" s="25" t="n">
        <x:v>47335</x:v>
      </x:c>
      <x:c r="J10" s="11" t="str">
        <x:v>UBND tỉnh Lâm Đồng</x:v>
      </x:c>
      <x:c r="K10" s="11" t="str">
        <x:v>Thôn 10, xã Trường Xuân, tỉnh Lâm Đồng</x:v>
      </x:c>
      <x:c r="L10" s="11" t="str">
        <x:v>Thôn 10, xã Trường Xuân, tỉnh Lâm Đồng</x:v>
      </x:c>
      <x:c r="M10" s="11" t="str">
        <x:v>Tỉnh Lâm Đồng sau sắp xếp</x:v>
      </x:c>
      <x:c r="N10" s="11" t="str">
        <x:v>xã Trường Xuân</x:v>
      </x:c>
      <x:c r="O10" s="11" t="str">
        <x:v>SRC-A-3981-2026</x:v>
      </x:c>
      <x:c r="P10" s="11" t="str">
        <x:v>A</x:v>
      </x:c>
      <x:c r="Q10" s="11" t="str">
        <x:v>verified_official_decision</x:v>
      </x:c>
      <x:c r="R10" s="26" t="b">
        <x:v>1</x:v>
      </x:c>
      <x:c r="S10" s="11" t="str">
        <x:v>Sản phẩm OCOP Bechamp Coffee Hòa Tan Nấm Linh Chi của Hợp tác xã Nông sản Hữu cơ Bechamp Đắk Nông. Thông tin mô tả đang được hoàn thiện từ nguồn do chủ thể cung cấp.</x:v>
      </x:c>
      <x:c r="T10" s="11" t="str"/>
      <x:c r="U10" s="11" t="str">
        <x:v>placeholder_only</x:v>
      </x:c>
      <x:c r="V10" s="11" t="str"/>
    </x:row>
    <x:row r="11">
      <x:c r="A11" s="11" t="str">
        <x:v>OCOP-2026-3981-007</x:v>
      </x:c>
      <x:c r="B11" s="11" t="str">
        <x:v>MACCA BECHAMP</x:v>
      </x:c>
      <x:c r="C11" s="11" t="str">
        <x:v>Hợp tác xã Nông sản Hữu cơ Bechamp Đắk Nông</x:v>
      </x:c>
      <x:c r="D11" s="11" t="str">
        <x:v>Thực phẩm</x:v>
      </x:c>
      <x:c r="E11" s="24" t="n">
        <x:v>3</x:v>
      </x:c>
      <x:c r="F11" s="24" t="n">
        <x:v>2026</x:v>
      </x:c>
      <x:c r="G11" s="11" t="str">
        <x:v>3981/QĐ-UBND</x:v>
      </x:c>
      <x:c r="H11" s="25" t="n">
        <x:v>46239</x:v>
      </x:c>
      <x:c r="I11" s="25" t="n">
        <x:v>47335</x:v>
      </x:c>
      <x:c r="J11" s="11" t="str">
        <x:v>UBND tỉnh Lâm Đồng</x:v>
      </x:c>
      <x:c r="K11" s="11" t="str">
        <x:v>Thôn 10, xã Trường Xuân, tỉnh Lâm Đồng</x:v>
      </x:c>
      <x:c r="L11" s="11" t="str">
        <x:v>Thôn 10, xã Trường Xuân, tỉnh Lâm Đồng</x:v>
      </x:c>
      <x:c r="M11" s="11" t="str">
        <x:v>Tỉnh Lâm Đồng sau sắp xếp</x:v>
      </x:c>
      <x:c r="N11" s="11" t="str">
        <x:v>xã Trường Xuân</x:v>
      </x:c>
      <x:c r="O11" s="11" t="str">
        <x:v>SRC-A-3981-2026</x:v>
      </x:c>
      <x:c r="P11" s="11" t="str">
        <x:v>A</x:v>
      </x:c>
      <x:c r="Q11" s="11" t="str">
        <x:v>verified_official_decision</x:v>
      </x:c>
      <x:c r="R11" s="26" t="b">
        <x:v>1</x:v>
      </x:c>
      <x:c r="S11" s="11" t="str">
        <x:v>Sản phẩm OCOP MACCA BECHAMP của Hợp tác xã Nông sản Hữu cơ Bechamp Đắk Nông. Thông tin mô tả đang được hoàn thiện từ nguồn do chủ thể cung cấp.</x:v>
      </x:c>
      <x:c r="T11" s="11" t="str"/>
      <x:c r="U11" s="11" t="str">
        <x:v>placeholder_only</x:v>
      </x:c>
      <x:c r="V11" s="11" t="str"/>
    </x:row>
    <x:row r="12">
      <x:c r="A12" s="11" t="str">
        <x:v>OCOP-2026-3981-008</x:v>
      </x:c>
      <x:c r="B12" s="11" t="str">
        <x:v>beCHAMP Coffee Honey Nắng Vàng</x:v>
      </x:c>
      <x:c r="C12" s="11" t="str">
        <x:v>Hợp tác xã Nông sản Hữu cơ Bechamp Đắk Nông</x:v>
      </x:c>
      <x:c r="D12" s="11" t="str">
        <x:v>Đồ uống</x:v>
      </x:c>
      <x:c r="E12" s="24" t="n">
        <x:v>3</x:v>
      </x:c>
      <x:c r="F12" s="24" t="n">
        <x:v>2026</x:v>
      </x:c>
      <x:c r="G12" s="11" t="str">
        <x:v>3981/QĐ-UBND</x:v>
      </x:c>
      <x:c r="H12" s="25" t="n">
        <x:v>46239</x:v>
      </x:c>
      <x:c r="I12" s="25" t="n">
        <x:v>47335</x:v>
      </x:c>
      <x:c r="J12" s="11" t="str">
        <x:v>UBND tỉnh Lâm Đồng</x:v>
      </x:c>
      <x:c r="K12" s="11" t="str">
        <x:v>Thôn 10, xã Trường Xuân, tỉnh Lâm Đồng</x:v>
      </x:c>
      <x:c r="L12" s="11" t="str">
        <x:v>Thôn 10, xã Trường Xuân, tỉnh Lâm Đồng</x:v>
      </x:c>
      <x:c r="M12" s="11" t="str">
        <x:v>Tỉnh Lâm Đồng sau sắp xếp</x:v>
      </x:c>
      <x:c r="N12" s="11" t="str">
        <x:v>xã Trường Xuân</x:v>
      </x:c>
      <x:c r="O12" s="11" t="str">
        <x:v>SRC-A-3981-2026</x:v>
      </x:c>
      <x:c r="P12" s="11" t="str">
        <x:v>A</x:v>
      </x:c>
      <x:c r="Q12" s="11" t="str">
        <x:v>verified_official_decision</x:v>
      </x:c>
      <x:c r="R12" s="26" t="b">
        <x:v>1</x:v>
      </x:c>
      <x:c r="S12" s="11" t="str">
        <x:v>Sản phẩm OCOP beCHAMP Coffee Honey Nắng Vàng của Hợp tác xã Nông sản Hữu cơ Bechamp Đắk Nông. Thông tin mô tả đang được hoàn thiện từ nguồn do chủ thể cung cấp.</x:v>
      </x:c>
      <x:c r="T12" s="11" t="str"/>
      <x:c r="U12" s="11" t="str">
        <x:v>placeholder_only</x:v>
      </x:c>
      <x:c r="V12" s="11" t="str"/>
    </x:row>
    <x:row r="13">
      <x:c r="A13" s="11" t="str">
        <x:v>OCOP-2026-3981-009</x:v>
      </x:c>
      <x:c r="B13" s="11" t="str">
        <x:v>Cao Atiso Hoàng An</x:v>
      </x:c>
      <x:c r="C13" s="11" t="str">
        <x:v>Công ty TNHH Atiso Hoàng An Đà Lạt</x:v>
      </x:c>
      <x:c r="D13" s="11" t="str">
        <x:v>Thảo dược</x:v>
      </x:c>
      <x:c r="E13" s="24" t="n">
        <x:v>3</x:v>
      </x:c>
      <x:c r="F13" s="24" t="n">
        <x:v>2026</x:v>
      </x:c>
      <x:c r="G13" s="11" t="str">
        <x:v>3981/QĐ-UBND</x:v>
      </x:c>
      <x:c r="H13" s="25" t="n">
        <x:v>46239</x:v>
      </x:c>
      <x:c r="I13" s="25" t="n">
        <x:v>47335</x:v>
      </x:c>
      <x:c r="J13" s="11" t="str">
        <x:v>UBND tỉnh Lâm Đồng</x:v>
      </x:c>
      <x:c r="K13" s="11" t="str">
        <x:v>Thôn 2, xã Lạc Dương, tỉnh Lâm Đồng</x:v>
      </x:c>
      <x:c r="L13" s="11" t="str">
        <x:v>Thôn 2, xã Lạc Dương, tỉnh Lâm Đồng</x:v>
      </x:c>
      <x:c r="M13" s="11" t="str">
        <x:v>Tỉnh Lâm Đồng sau sắp xếp</x:v>
      </x:c>
      <x:c r="N13" s="11" t="str">
        <x:v>xã Lạc Dương</x:v>
      </x:c>
      <x:c r="O13" s="11" t="str">
        <x:v>SRC-A-3981-2026</x:v>
      </x:c>
      <x:c r="P13" s="11" t="str">
        <x:v>A</x:v>
      </x:c>
      <x:c r="Q13" s="11" t="str">
        <x:v>verified_official_decision</x:v>
      </x:c>
      <x:c r="R13" s="26" t="b">
        <x:v>1</x:v>
      </x:c>
      <x:c r="S13" s="11" t="str">
        <x:v>Sản phẩm OCOP Cao Atiso Hoàng An của Công ty TNHH Atiso Hoàng An Đà Lạt. Thông tin mô tả đang được hoàn thiện từ nguồn do chủ thể cung cấp.</x:v>
      </x:c>
      <x:c r="T13" s="11" t="str"/>
      <x:c r="U13" s="11" t="str">
        <x:v>placeholder_only</x:v>
      </x:c>
      <x:c r="V13" s="11" t="str"/>
    </x:row>
    <x:row r="14">
      <x:c r="A14" s="11" t="str">
        <x:v>OCOP-2025-0858-001</x:v>
      </x:c>
      <x:c r="B14" s="11" t="str">
        <x:v>Mắc ca Lê Anh Tuy Đức</x:v>
      </x:c>
      <x:c r="C14" s="11" t="str">
        <x:v>Hợp tác xã Nông nghiệp và Dịch vụ Long Việt</x:v>
      </x:c>
      <x:c r="D14" s="11" t="str">
        <x:v>Thực phẩm</x:v>
      </x:c>
      <x:c r="E14" s="24" t="n">
        <x:v>4</x:v>
      </x:c>
      <x:c r="F14" s="24" t="n">
        <x:v>2025</x:v>
      </x:c>
      <x:c r="G14" s="11" t="str">
        <x:v>858/QĐ-UBND</x:v>
      </x:c>
      <x:c r="H14" s="25" t="n">
        <x:v>45827</x:v>
      </x:c>
      <x:c r="I14" s="25" t="n">
        <x:v>46923</x:v>
      </x:c>
      <x:c r="J14" s="11" t="str">
        <x:v>UBND tỉnh Đắk Nông</x:v>
      </x:c>
      <x:c r="K14" s="11" t="str">
        <x:v>Bon Đắk Huýt, xã Quảng Trực, huyện Tuy Đức, tỉnh Đắk Nông</x:v>
      </x:c>
      <x:c r="L14" s="11" t="str">
        <x:v>Bon Đắk Huýt, xã Quảng Trực, tỉnh Lâm Đồng</x:v>
      </x:c>
      <x:c r="M14" s="11" t="str">
        <x:v>Đắk Nông cũ</x:v>
      </x:c>
      <x:c r="N14" s="11" t="str">
        <x:v>xã Quảng Trực</x:v>
      </x:c>
      <x:c r="O14" s="11" t="str">
        <x:v>SRC-A-858-2025</x:v>
      </x:c>
      <x:c r="P14" s="11" t="str">
        <x:v>A</x:v>
      </x:c>
      <x:c r="Q14" s="11" t="str">
        <x:v>verified_official_decision</x:v>
      </x:c>
      <x:c r="R14" s="26" t="b">
        <x:v>1</x:v>
      </x:c>
      <x:c r="S14" s="11" t="str">
        <x:v>Sản phẩm OCOP Mắc ca Lê Anh Tuy Đức của Hợp tác xã Nông nghiệp và Dịch vụ Long Việt. Thông tin mô tả đang được hoàn thiện từ nguồn do chủ thể cung cấp.</x:v>
      </x:c>
      <x:c r="T14" s="11" t="str"/>
      <x:c r="U14" s="11" t="str">
        <x:v>placeholder_only</x:v>
      </x:c>
      <x:c r="V14" s="11" t="str"/>
    </x:row>
    <x:row r="15">
      <x:c r="A15" s="11" t="str">
        <x:v>OCOP-2025-0858-002</x:v>
      </x:c>
      <x:c r="B15" s="11" t="str">
        <x:v>Hạt Mắc ca Mơ Nông</x:v>
      </x:c>
      <x:c r="C15" s="11" t="str">
        <x:v>Hợp tác xã Nông nghiệp xanh Quảng Trực</x:v>
      </x:c>
      <x:c r="D15" s="11" t="str">
        <x:v>Thực phẩm</x:v>
      </x:c>
      <x:c r="E15" s="24" t="n">
        <x:v>4</x:v>
      </x:c>
      <x:c r="F15" s="24" t="n">
        <x:v>2025</x:v>
      </x:c>
      <x:c r="G15" s="11" t="str">
        <x:v>858/QĐ-UBND</x:v>
      </x:c>
      <x:c r="H15" s="25" t="n">
        <x:v>45827</x:v>
      </x:c>
      <x:c r="I15" s="25" t="n">
        <x:v>46923</x:v>
      </x:c>
      <x:c r="J15" s="11" t="str">
        <x:v>UBND tỉnh Đắk Nông</x:v>
      </x:c>
      <x:c r="K15" s="11" t="str">
        <x:v>Bon Đắk Huýt, xã Quảng Trực, huyện Tuy Đức, tỉnh Đắk Nông</x:v>
      </x:c>
      <x:c r="L15" s="11" t="str">
        <x:v>Bon Đắk Huýt, xã Quảng Trực, tỉnh Lâm Đồng</x:v>
      </x:c>
      <x:c r="M15" s="11" t="str">
        <x:v>Đắk Nông cũ</x:v>
      </x:c>
      <x:c r="N15" s="11" t="str">
        <x:v>xã Quảng Trực</x:v>
      </x:c>
      <x:c r="O15" s="11" t="str">
        <x:v>SRC-A-858-2025</x:v>
      </x:c>
      <x:c r="P15" s="11" t="str">
        <x:v>A</x:v>
      </x:c>
      <x:c r="Q15" s="11" t="str">
        <x:v>verified_official_decision</x:v>
      </x:c>
      <x:c r="R15" s="26" t="b">
        <x:v>1</x:v>
      </x:c>
      <x:c r="S15" s="11" t="str">
        <x:v>Sản phẩm OCOP Hạt Mắc ca Mơ Nông của Hợp tác xã Nông nghiệp xanh Quảng Trực. Thông tin mô tả đang được hoàn thiện từ nguồn do chủ thể cung cấp.</x:v>
      </x:c>
      <x:c r="T15" s="11" t="str"/>
      <x:c r="U15" s="11" t="str">
        <x:v>placeholder_only</x:v>
      </x:c>
      <x:c r="V15" s="11" t="str"/>
    </x:row>
    <x:row r="16">
      <x:c r="A16" s="11" t="str">
        <x:v>OCOP-2025-0858-003</x:v>
      </x:c>
      <x:c r="B16" s="11" t="str">
        <x:v>Tiêu xanh sấy thăng hoa</x:v>
      </x:c>
      <x:c r="C16" s="11" t="str">
        <x:v>Công ty TNHH TM XNK Sachi Thịnh Phát</x:v>
      </x:c>
      <x:c r="D16" s="11" t="str">
        <x:v>Thực phẩm</x:v>
      </x:c>
      <x:c r="E16" s="24" t="n">
        <x:v>4</x:v>
      </x:c>
      <x:c r="F16" s="24" t="n">
        <x:v>2025</x:v>
      </x:c>
      <x:c r="G16" s="11" t="str">
        <x:v>858/QĐ-UBND</x:v>
      </x:c>
      <x:c r="H16" s="25" t="n">
        <x:v>45827</x:v>
      </x:c>
      <x:c r="I16" s="25" t="n">
        <x:v>46923</x:v>
      </x:c>
      <x:c r="J16" s="11" t="str">
        <x:v>UBND tỉnh Đắk Nông</x:v>
      </x:c>
      <x:c r="K16" s="11" t="str">
        <x:v>37 Nguyễn Văn Trỗi, phường Nghĩa Trung, thành phố Gia Nghĩa, tỉnh Đắk Nông</x:v>
      </x:c>
      <x:c r="L16" s="11" t="str">
        <x:v>37 Nguyễn Văn Trỗi, phường Đông Gia Nghĩa, tỉnh Lâm Đồng</x:v>
      </x:c>
      <x:c r="M16" s="11" t="str">
        <x:v>Đắk Nông cũ</x:v>
      </x:c>
      <x:c r="N16" s="11" t="str">
        <x:v>phường Đông Gia Nghĩa</x:v>
      </x:c>
      <x:c r="O16" s="11" t="str">
        <x:v>SRC-A-858-2025</x:v>
      </x:c>
      <x:c r="P16" s="11" t="str">
        <x:v>A</x:v>
      </x:c>
      <x:c r="Q16" s="11" t="str">
        <x:v>verified_official_decision</x:v>
      </x:c>
      <x:c r="R16" s="26" t="b">
        <x:v>1</x:v>
      </x:c>
      <x:c r="S16" s="11" t="str">
        <x:v>Sản phẩm OCOP Tiêu xanh sấy thăng hoa của Công ty TNHH TM XNK Sachi Thịnh Phát. Thông tin mô tả đang được hoàn thiện từ nguồn do chủ thể cung cấp.</x:v>
      </x:c>
      <x:c r="T16" s="11" t="str"/>
      <x:c r="U16" s="11" t="str">
        <x:v>placeholder_only</x:v>
      </x:c>
      <x:c r="V16" s="11" t="str"/>
    </x:row>
    <x:row r="17">
      <x:c r="A17" s="11" t="str">
        <x:v>OCOP-2025-0858-004</x:v>
      </x:c>
      <x:c r="B17" s="11" t="str">
        <x:v>Trái cây sấy thăng hoa</x:v>
      </x:c>
      <x:c r="C17" s="11" t="str">
        <x:v>Công ty TNHH TM XNK Sachi Thịnh Phát</x:v>
      </x:c>
      <x:c r="D17" s="11" t="str">
        <x:v>Thực phẩm</x:v>
      </x:c>
      <x:c r="E17" s="24" t="n">
        <x:v>4</x:v>
      </x:c>
      <x:c r="F17" s="24" t="n">
        <x:v>2025</x:v>
      </x:c>
      <x:c r="G17" s="11" t="str">
        <x:v>858/QĐ-UBND</x:v>
      </x:c>
      <x:c r="H17" s="25" t="n">
        <x:v>45827</x:v>
      </x:c>
      <x:c r="I17" s="25" t="n">
        <x:v>46923</x:v>
      </x:c>
      <x:c r="J17" s="11" t="str">
        <x:v>UBND tỉnh Đắk Nông</x:v>
      </x:c>
      <x:c r="K17" s="11" t="str">
        <x:v>37 Nguyễn Văn Trỗi, phường Nghĩa Trung, thành phố Gia Nghĩa, tỉnh Đắk Nông</x:v>
      </x:c>
      <x:c r="L17" s="11" t="str">
        <x:v>37 Nguyễn Văn Trỗi, phường Đông Gia Nghĩa, tỉnh Lâm Đồng</x:v>
      </x:c>
      <x:c r="M17" s="11" t="str">
        <x:v>Đắk Nông cũ</x:v>
      </x:c>
      <x:c r="N17" s="11" t="str">
        <x:v>phường Đông Gia Nghĩa</x:v>
      </x:c>
      <x:c r="O17" s="11" t="str">
        <x:v>SRC-A-858-2025</x:v>
      </x:c>
      <x:c r="P17" s="11" t="str">
        <x:v>A</x:v>
      </x:c>
      <x:c r="Q17" s="11" t="str">
        <x:v>verified_official_decision</x:v>
      </x:c>
      <x:c r="R17" s="26" t="b">
        <x:v>1</x:v>
      </x:c>
      <x:c r="S17" s="11" t="str">
        <x:v>Sản phẩm OCOP Trái cây sấy thăng hoa của Công ty TNHH TM XNK Sachi Thịnh Phát. Thông tin mô tả đang được hoàn thiện từ nguồn do chủ thể cung cấp.</x:v>
      </x:c>
      <x:c r="T17" s="11" t="str"/>
      <x:c r="U17" s="11" t="str">
        <x:v>placeholder_only</x:v>
      </x:c>
      <x:c r="V17" s="11" t="str"/>
    </x:row>
    <x:row r="18">
      <x:c r="A18" s="11" t="str">
        <x:v>OCOP-2025-0858-005</x:v>
      </x:c>
      <x:c r="B18" s="11" t="str">
        <x:v>Hạt Điều rang muối</x:v>
      </x:c>
      <x:c r="C18" s="11" t="str">
        <x:v>Công ty TNHH TM XNK Sachi Thịnh Phát</x:v>
      </x:c>
      <x:c r="D18" s="11" t="str">
        <x:v>Thực phẩm</x:v>
      </x:c>
      <x:c r="E18" s="24" t="n">
        <x:v>4</x:v>
      </x:c>
      <x:c r="F18" s="24" t="n">
        <x:v>2025</x:v>
      </x:c>
      <x:c r="G18" s="11" t="str">
        <x:v>858/QĐ-UBND</x:v>
      </x:c>
      <x:c r="H18" s="25" t="n">
        <x:v>45827</x:v>
      </x:c>
      <x:c r="I18" s="25" t="n">
        <x:v>46923</x:v>
      </x:c>
      <x:c r="J18" s="11" t="str">
        <x:v>UBND tỉnh Đắk Nông</x:v>
      </x:c>
      <x:c r="K18" s="11" t="str">
        <x:v>37 Nguyễn Văn Trỗi, phường Nghĩa Trung, thành phố Gia Nghĩa, tỉnh Đắk Nông</x:v>
      </x:c>
      <x:c r="L18" s="11" t="str">
        <x:v>37 Nguyễn Văn Trỗi, phường Đông Gia Nghĩa, tỉnh Lâm Đồng</x:v>
      </x:c>
      <x:c r="M18" s="11" t="str">
        <x:v>Đắk Nông cũ</x:v>
      </x:c>
      <x:c r="N18" s="11" t="str">
        <x:v>phường Đông Gia Nghĩa</x:v>
      </x:c>
      <x:c r="O18" s="11" t="str">
        <x:v>SRC-A-858-2025</x:v>
      </x:c>
      <x:c r="P18" s="11" t="str">
        <x:v>A</x:v>
      </x:c>
      <x:c r="Q18" s="11" t="str">
        <x:v>verified_official_decision</x:v>
      </x:c>
      <x:c r="R18" s="26" t="b">
        <x:v>1</x:v>
      </x:c>
      <x:c r="S18" s="11" t="str">
        <x:v>Sản phẩm OCOP Hạt Điều rang muối của Công ty TNHH TM XNK Sachi Thịnh Phát. Thông tin mô tả đang được hoàn thiện từ nguồn do chủ thể cung cấp.</x:v>
      </x:c>
      <x:c r="T18" s="11" t="str"/>
      <x:c r="U18" s="11" t="str">
        <x:v>placeholder_only</x:v>
      </x:c>
      <x:c r="V18" s="11" t="str"/>
    </x:row>
    <x:row r="19">
      <x:c r="A19" s="11" t="str">
        <x:v>OCOP-2025-1887-001</x:v>
      </x:c>
      <x:c r="B19" s="11" t="str">
        <x:v>Mộc Đế Vương</x:v>
      </x:c>
      <x:c r="C19" s="11" t="str">
        <x:v>Công ty TNHH BOANERGES</x:v>
      </x:c>
      <x:c r="D19" s="11" t="str">
        <x:v>Thảo dược</x:v>
      </x:c>
      <x:c r="E19" s="24" t="n">
        <x:v>3</x:v>
      </x:c>
      <x:c r="F19" s="24" t="n">
        <x:v>2025</x:v>
      </x:c>
      <x:c r="G19" s="11" t="str">
        <x:v>1887/QĐ-UBND</x:v>
      </x:c>
      <x:c r="H19" s="25" t="n">
        <x:v>45824</x:v>
      </x:c>
      <x:c r="I19" s="25" t="n">
        <x:v>46920</x:v>
      </x:c>
      <x:c r="J19" s="11" t="str">
        <x:v>UBND huyện Đắk Song</x:v>
      </x:c>
      <x:c r="K19" s="11" t="str">
        <x:v>Thôn 3, xã Thuận Hà, huyện Đắk Song, tỉnh Đắk Nông</x:v>
      </x:c>
      <x:c r="L19" s="11" t="str">
        <x:v>Thôn 3, xã Thuận Hạnh, tỉnh Lâm Đồng</x:v>
      </x:c>
      <x:c r="M19" s="11" t="str">
        <x:v>Đắk Nông cũ</x:v>
      </x:c>
      <x:c r="N19" s="11" t="str">
        <x:v>xã Thuận Hạnh</x:v>
      </x:c>
      <x:c r="O19" s="11" t="str">
        <x:v>SRC-A-1887-2025</x:v>
      </x:c>
      <x:c r="P19" s="11" t="str">
        <x:v>A</x:v>
      </x:c>
      <x:c r="Q19" s="11" t="str">
        <x:v>verified_official_decision</x:v>
      </x:c>
      <x:c r="R19" s="26" t="b">
        <x:v>1</x:v>
      </x:c>
      <x:c r="S19" s="11" t="str">
        <x:v>Sản phẩm OCOP Mộc Đế Vương của Công ty TNHH BOANERGES. Thông tin mô tả đang được hoàn thiện từ nguồn do chủ thể cung cấp.</x:v>
      </x:c>
      <x:c r="T19" s="11" t="str"/>
      <x:c r="U19" s="11" t="str">
        <x:v>placeholder_only</x:v>
      </x:c>
      <x:c r="V19" s="11" t="str"/>
    </x:row>
    <x:row r="20">
      <x:c r="A20" s="11" t="str">
        <x:v>OCOP-2025-1887-002</x:v>
      </x:c>
      <x:c r="B20" s="11" t="str">
        <x:v>Mộc Quý Phi</x:v>
      </x:c>
      <x:c r="C20" s="11" t="str">
        <x:v>Công ty TNHH BOANERGES</x:v>
      </x:c>
      <x:c r="D20" s="11" t="str">
        <x:v>Thảo dược</x:v>
      </x:c>
      <x:c r="E20" s="24" t="n">
        <x:v>3</x:v>
      </x:c>
      <x:c r="F20" s="24" t="n">
        <x:v>2025</x:v>
      </x:c>
      <x:c r="G20" s="11" t="str">
        <x:v>1887/QĐ-UBND</x:v>
      </x:c>
      <x:c r="H20" s="25" t="n">
        <x:v>45824</x:v>
      </x:c>
      <x:c r="I20" s="25" t="n">
        <x:v>46920</x:v>
      </x:c>
      <x:c r="J20" s="11" t="str">
        <x:v>UBND huyện Đắk Song</x:v>
      </x:c>
      <x:c r="K20" s="11" t="str">
        <x:v>Thôn 3, xã Thuận Hà, huyện Đắk Song, tỉnh Đắk Nông</x:v>
      </x:c>
      <x:c r="L20" s="11" t="str">
        <x:v>Thôn 3, xã Thuận Hạnh, tỉnh Lâm Đồng</x:v>
      </x:c>
      <x:c r="M20" s="11" t="str">
        <x:v>Đắk Nông cũ</x:v>
      </x:c>
      <x:c r="N20" s="11" t="str">
        <x:v>xã Thuận Hạnh</x:v>
      </x:c>
      <x:c r="O20" s="11" t="str">
        <x:v>SRC-A-1887-2025</x:v>
      </x:c>
      <x:c r="P20" s="11" t="str">
        <x:v>A</x:v>
      </x:c>
      <x:c r="Q20" s="11" t="str">
        <x:v>verified_official_decision</x:v>
      </x:c>
      <x:c r="R20" s="26" t="b">
        <x:v>1</x:v>
      </x:c>
      <x:c r="S20" s="11" t="str">
        <x:v>Sản phẩm OCOP Mộc Quý Phi của Công ty TNHH BOANERGES. Thông tin mô tả đang được hoàn thiện từ nguồn do chủ thể cung cấp.</x:v>
      </x:c>
      <x:c r="T20" s="11" t="str"/>
      <x:c r="U20" s="11" t="str">
        <x:v>placeholder_only</x:v>
      </x:c>
      <x:c r="V20" s="11" t="str"/>
    </x:row>
    <x:row r="21">
      <x:c r="A21" s="11" t="str">
        <x:v>OCOP-2025-1887-003</x:v>
      </x:c>
      <x:c r="B21" s="11" t="str">
        <x:v>Mộc Thanh Lọc</x:v>
      </x:c>
      <x:c r="C21" s="11" t="str">
        <x:v>Công ty TNHH BOANERGES</x:v>
      </x:c>
      <x:c r="D21" s="11" t="str">
        <x:v>Thảo dược</x:v>
      </x:c>
      <x:c r="E21" s="24" t="n">
        <x:v>3</x:v>
      </x:c>
      <x:c r="F21" s="24" t="n">
        <x:v>2025</x:v>
      </x:c>
      <x:c r="G21" s="11" t="str">
        <x:v>1887/QĐ-UBND</x:v>
      </x:c>
      <x:c r="H21" s="25" t="n">
        <x:v>45824</x:v>
      </x:c>
      <x:c r="I21" s="25" t="n">
        <x:v>46920</x:v>
      </x:c>
      <x:c r="J21" s="11" t="str">
        <x:v>UBND huyện Đắk Song</x:v>
      </x:c>
      <x:c r="K21" s="11" t="str">
        <x:v>Thôn 3, xã Thuận Hà, huyện Đắk Song, tỉnh Đắk Nông</x:v>
      </x:c>
      <x:c r="L21" s="11" t="str">
        <x:v>Thôn 3, xã Thuận Hạnh, tỉnh Lâm Đồng</x:v>
      </x:c>
      <x:c r="M21" s="11" t="str">
        <x:v>Đắk Nông cũ</x:v>
      </x:c>
      <x:c r="N21" s="11" t="str">
        <x:v>xã Thuận Hạnh</x:v>
      </x:c>
      <x:c r="O21" s="11" t="str">
        <x:v>SRC-A-1887-2025</x:v>
      </x:c>
      <x:c r="P21" s="11" t="str">
        <x:v>A</x:v>
      </x:c>
      <x:c r="Q21" s="11" t="str">
        <x:v>verified_official_decision</x:v>
      </x:c>
      <x:c r="R21" s="26" t="b">
        <x:v>1</x:v>
      </x:c>
      <x:c r="S21" s="11" t="str">
        <x:v>Sản phẩm OCOP Mộc Thanh Lọc của Công ty TNHH BOANERGES. Thông tin mô tả đang được hoàn thiện từ nguồn do chủ thể cung cấp.</x:v>
      </x:c>
      <x:c r="T21" s="11" t="str"/>
      <x:c r="U21" s="11" t="str">
        <x:v>placeholder_only</x:v>
      </x:c>
      <x:c r="V21" s="11" t="str"/>
    </x:row>
    <x:row r="22">
      <x:c r="A22" s="11" t="str">
        <x:v>OCOP-2025-1887-004</x:v>
      </x:c>
      <x:c r="B22" s="11" t="str">
        <x:v>Mộc Bảo An</x:v>
      </x:c>
      <x:c r="C22" s="11" t="str">
        <x:v>Công ty TNHH BOANERGES</x:v>
      </x:c>
      <x:c r="D22" s="11" t="str">
        <x:v>Thảo dược</x:v>
      </x:c>
      <x:c r="E22" s="24" t="n">
        <x:v>3</x:v>
      </x:c>
      <x:c r="F22" s="24" t="n">
        <x:v>2025</x:v>
      </x:c>
      <x:c r="G22" s="11" t="str">
        <x:v>1887/QĐ-UBND</x:v>
      </x:c>
      <x:c r="H22" s="25" t="n">
        <x:v>45824</x:v>
      </x:c>
      <x:c r="I22" s="25" t="n">
        <x:v>46920</x:v>
      </x:c>
      <x:c r="J22" s="11" t="str">
        <x:v>UBND huyện Đắk Song</x:v>
      </x:c>
      <x:c r="K22" s="11" t="str">
        <x:v>Thôn 3, xã Thuận Hà, huyện Đắk Song, tỉnh Đắk Nông</x:v>
      </x:c>
      <x:c r="L22" s="11" t="str">
        <x:v>Thôn 3, xã Thuận Hạnh, tỉnh Lâm Đồng</x:v>
      </x:c>
      <x:c r="M22" s="11" t="str">
        <x:v>Đắk Nông cũ</x:v>
      </x:c>
      <x:c r="N22" s="11" t="str">
        <x:v>xã Thuận Hạnh</x:v>
      </x:c>
      <x:c r="O22" s="11" t="str">
        <x:v>SRC-A-1887-2025</x:v>
      </x:c>
      <x:c r="P22" s="11" t="str">
        <x:v>A</x:v>
      </x:c>
      <x:c r="Q22" s="11" t="str">
        <x:v>verified_official_decision</x:v>
      </x:c>
      <x:c r="R22" s="26" t="b">
        <x:v>1</x:v>
      </x:c>
      <x:c r="S22" s="11" t="str">
        <x:v>Sản phẩm OCOP Mộc Bảo An của Công ty TNHH BOANERGES. Thông tin mô tả đang được hoàn thiện từ nguồn do chủ thể cung cấp.</x:v>
      </x:c>
      <x:c r="T22" s="11" t="str"/>
      <x:c r="U22" s="11" t="str">
        <x:v>placeholder_only</x:v>
      </x:c>
      <x:c r="V22" s="11" t="str"/>
    </x:row>
    <x:row r="23">
      <x:c r="A23" s="11" t="str">
        <x:v>OCOP-2025-1887-005</x:v>
      </x:c>
      <x:c r="B23" s="11" t="str">
        <x:v>Macca Bonbubo</x:v>
      </x:c>
      <x:c r="C23" s="11" t="str">
        <x:v>Công ty TNHH Hoàng Phương Tây Nguyên</x:v>
      </x:c>
      <x:c r="D23" s="11" t="str">
        <x:v>Thực phẩm</x:v>
      </x:c>
      <x:c r="E23" s="24" t="n">
        <x:v>3</x:v>
      </x:c>
      <x:c r="F23" s="24" t="n">
        <x:v>2025</x:v>
      </x:c>
      <x:c r="G23" s="11" t="str">
        <x:v>1887/QĐ-UBND</x:v>
      </x:c>
      <x:c r="H23" s="25" t="n">
        <x:v>45824</x:v>
      </x:c>
      <x:c r="I23" s="25" t="n">
        <x:v>46920</x:v>
      </x:c>
      <x:c r="J23" s="11" t="str">
        <x:v>UBND huyện Đắk Song</x:v>
      </x:c>
      <x:c r="K23" s="11" t="str">
        <x:v>Thôn Thuận Thành, xã Thuận Hạnh, huyện Đắk Song, tỉnh Đắk Nông</x:v>
      </x:c>
      <x:c r="L23" s="11" t="str">
        <x:v>Thôn Thuận Thành, xã Thuận Hạnh, tỉnh Lâm Đồng</x:v>
      </x:c>
      <x:c r="M23" s="11" t="str">
        <x:v>Đắk Nông cũ</x:v>
      </x:c>
      <x:c r="N23" s="11" t="str">
        <x:v>xã Thuận Hạnh</x:v>
      </x:c>
      <x:c r="O23" s="11" t="str">
        <x:v>SRC-A-1887-2025</x:v>
      </x:c>
      <x:c r="P23" s="11" t="str">
        <x:v>A</x:v>
      </x:c>
      <x:c r="Q23" s="11" t="str">
        <x:v>verified_official_decision</x:v>
      </x:c>
      <x:c r="R23" s="26" t="b">
        <x:v>1</x:v>
      </x:c>
      <x:c r="S23" s="11" t="str">
        <x:v>Sản phẩm OCOP Macca Bonbubo của Công ty TNHH Hoàng Phương Tây Nguyên. Thông tin mô tả đang được hoàn thiện từ nguồn do chủ thể cung cấp.</x:v>
      </x:c>
      <x:c r="T23" s="11" t="str"/>
      <x:c r="U23" s="11" t="str">
        <x:v>placeholder_only</x:v>
      </x:c>
      <x:c r="V23" s="11" t="str"/>
    </x:row>
    <x:row r="24">
      <x:c r="A24" s="11" t="str">
        <x:v>OCOP-2025-1887-006</x:v>
      </x:c>
      <x:c r="B24" s="11" t="str">
        <x:v>Macca Quyền Nguyệt</x:v>
      </x:c>
      <x:c r="C24" s="11" t="str">
        <x:v>Hộ kinh doanh Chu Thị Nguyệt</x:v>
      </x:c>
      <x:c r="D24" s="11" t="str">
        <x:v>Thực phẩm</x:v>
      </x:c>
      <x:c r="E24" s="24" t="n">
        <x:v>3</x:v>
      </x:c>
      <x:c r="F24" s="24" t="n">
        <x:v>2025</x:v>
      </x:c>
      <x:c r="G24" s="11" t="str">
        <x:v>1887/QĐ-UBND</x:v>
      </x:c>
      <x:c r="H24" s="25" t="n">
        <x:v>45824</x:v>
      </x:c>
      <x:c r="I24" s="25" t="n">
        <x:v>46920</x:v>
      </x:c>
      <x:c r="J24" s="11" t="str">
        <x:v>UBND huyện Đắk Song</x:v>
      </x:c>
      <x:c r="K24" s="11" t="str">
        <x:v>Tổ dân phố 2, thị trấn Đức An, huyện Đắk Song, tỉnh Đắk Nông</x:v>
      </x:c>
      <x:c r="L24" s="11" t="str">
        <x:v>Tổ dân phố 2, xã Đức An, tỉnh Lâm Đồng</x:v>
      </x:c>
      <x:c r="M24" s="11" t="str">
        <x:v>Đắk Nông cũ</x:v>
      </x:c>
      <x:c r="N24" s="11" t="str">
        <x:v>xã Đức An</x:v>
      </x:c>
      <x:c r="O24" s="11" t="str">
        <x:v>SRC-A-1887-2025</x:v>
      </x:c>
      <x:c r="P24" s="11" t="str">
        <x:v>A</x:v>
      </x:c>
      <x:c r="Q24" s="11" t="str">
        <x:v>verified_official_decision</x:v>
      </x:c>
      <x:c r="R24" s="26" t="b">
        <x:v>1</x:v>
      </x:c>
      <x:c r="S24" s="11" t="str">
        <x:v>Sản phẩm OCOP Macca Quyền Nguyệt của Hộ kinh doanh Chu Thị Nguyệt. Thông tin mô tả đang được hoàn thiện từ nguồn do chủ thể cung cấp.</x:v>
      </x:c>
      <x:c r="T24" s="11" t="str"/>
      <x:c r="U24" s="11" t="str">
        <x:v>placeholder_only</x:v>
      </x:c>
      <x:c r="V24" s="11" t="str"/>
    </x:row>
    <x:row r="25">
      <x:c r="A25" s="11" t="str">
        <x:v>OCOP-2025-1887-007</x:v>
      </x:c>
      <x:c r="B25" s="11" t="str">
        <x:v>Hill coffee</x:v>
      </x:c>
      <x:c r="C25" s="11" t="str">
        <x:v>Hộ kinh doanh Đặng Vũ Minh Hòa</x:v>
      </x:c>
      <x:c r="D25" s="11" t="str">
        <x:v>Đồ uống</x:v>
      </x:c>
      <x:c r="E25" s="24" t="n">
        <x:v>3</x:v>
      </x:c>
      <x:c r="F25" s="24" t="n">
        <x:v>2025</x:v>
      </x:c>
      <x:c r="G25" s="11" t="str">
        <x:v>1887/QĐ-UBND</x:v>
      </x:c>
      <x:c r="H25" s="25" t="n">
        <x:v>45824</x:v>
      </x:c>
      <x:c r="I25" s="25" t="n">
        <x:v>46920</x:v>
      </x:c>
      <x:c r="J25" s="11" t="str">
        <x:v>UBND huyện Đắk Song</x:v>
      </x:c>
      <x:c r="K25" s="11" t="str">
        <x:v>Thôn 11, xã Nam Bình, huyện Đắk Song, tỉnh Đắk Nông</x:v>
      </x:c>
      <x:c r="L25" s="11" t="str">
        <x:v>Thôn 11, xã Đức An, tỉnh Lâm Đồng</x:v>
      </x:c>
      <x:c r="M25" s="11" t="str">
        <x:v>Đắk Nông cũ</x:v>
      </x:c>
      <x:c r="N25" s="11" t="str">
        <x:v>xã Đức An</x:v>
      </x:c>
      <x:c r="O25" s="11" t="str">
        <x:v>SRC-A-1887-2025</x:v>
      </x:c>
      <x:c r="P25" s="11" t="str">
        <x:v>A</x:v>
      </x:c>
      <x:c r="Q25" s="11" t="str">
        <x:v>verified_official_decision</x:v>
      </x:c>
      <x:c r="R25" s="26" t="b">
        <x:v>1</x:v>
      </x:c>
      <x:c r="S25" s="11" t="str">
        <x:v>Sản phẩm OCOP Hill coffee của Hộ kinh doanh Đặng Vũ Minh Hòa. Thông tin mô tả đang được hoàn thiện từ nguồn do chủ thể cung cấp.</x:v>
      </x:c>
      <x:c r="T25" s="11" t="str"/>
      <x:c r="U25" s="11" t="str">
        <x:v>placeholder_only</x:v>
      </x:c>
      <x:c r="V25" s="11" t="str"/>
    </x:row>
    <x:row r="26">
      <x:c r="A26" s="11" t="str">
        <x:v>OCOP-2025-1887-008</x:v>
      </x:c>
      <x:c r="B26" s="11" t="str">
        <x:v>Trà thảo mộc 7 vị</x:v>
      </x:c>
      <x:c r="C26" s="11" t="str">
        <x:v>Công ty TNHH An Tây Nguyên</x:v>
      </x:c>
      <x:c r="D26" s="11" t="str">
        <x:v>Đồ uống</x:v>
      </x:c>
      <x:c r="E26" s="24" t="n">
        <x:v>3</x:v>
      </x:c>
      <x:c r="F26" s="24" t="n">
        <x:v>2025</x:v>
      </x:c>
      <x:c r="G26" s="11" t="str">
        <x:v>1887/QĐ-UBND</x:v>
      </x:c>
      <x:c r="H26" s="25" t="n">
        <x:v>45824</x:v>
      </x:c>
      <x:c r="I26" s="25" t="n">
        <x:v>46920</x:v>
      </x:c>
      <x:c r="J26" s="11" t="str">
        <x:v>UBND huyện Đắk Song</x:v>
      </x:c>
      <x:c r="K26" s="11" t="str">
        <x:v>Thôn 6, xã Thuận Hà, huyện Đắk Song, tỉnh Đắk Nông</x:v>
      </x:c>
      <x:c r="L26" s="11" t="str">
        <x:v>Thôn 6, xã Thuận Hạnh, tỉnh Lâm Đồng</x:v>
      </x:c>
      <x:c r="M26" s="11" t="str">
        <x:v>Đắk Nông cũ</x:v>
      </x:c>
      <x:c r="N26" s="11" t="str">
        <x:v>xã Thuận Hạnh</x:v>
      </x:c>
      <x:c r="O26" s="11" t="str">
        <x:v>SRC-A-1887-2025</x:v>
      </x:c>
      <x:c r="P26" s="11" t="str">
        <x:v>A</x:v>
      </x:c>
      <x:c r="Q26" s="11" t="str">
        <x:v>verified_official_decision</x:v>
      </x:c>
      <x:c r="R26" s="26" t="b">
        <x:v>1</x:v>
      </x:c>
      <x:c r="S26" s="11" t="str">
        <x:v>Sản phẩm OCOP Trà thảo mộc 7 vị của Công ty TNHH An Tây Nguyên. Thông tin mô tả đang được hoàn thiện từ nguồn do chủ thể cung cấp.</x:v>
      </x:c>
      <x:c r="T26" s="11" t="str"/>
      <x:c r="U26" s="11" t="str">
        <x:v>placeholder_only</x:v>
      </x:c>
      <x:c r="V26" s="11" t="str"/>
    </x:row>
    <x:row r="27">
      <x:c r="A27" s="11" t="str">
        <x:v>OCOP-2025-0768-001</x:v>
      </x:c>
      <x:c r="B27" s="11" t="str">
        <x:v>Tinh bột nghệ</x:v>
      </x:c>
      <x:c r="C27" s="11" t="str">
        <x:v>Cơ sở sản xuất tinh bột nghệ Hải Hoa</x:v>
      </x:c>
      <x:c r="D27" s="11" t="str">
        <x:v>Thảo dược</x:v>
      </x:c>
      <x:c r="E27" s="24" t="n">
        <x:v>3</x:v>
      </x:c>
      <x:c r="F27" s="24" t="n">
        <x:v>2025</x:v>
      </x:c>
      <x:c r="G27" s="11" t="str">
        <x:v>768/QĐ-UBND</x:v>
      </x:c>
      <x:c r="H27" s="25" t="n">
        <x:v>45784</x:v>
      </x:c>
      <x:c r="I27" s="25" t="n">
        <x:v>46880</x:v>
      </x:c>
      <x:c r="J27" s="11" t="str">
        <x:v>UBND huyện Cư Jút</x:v>
      </x:c>
      <x:c r="K27" s="11" t="str">
        <x:v>Thôn 2, xã Nam Dong, huyện Cư Jút, tỉnh Đắk Nông</x:v>
      </x:c>
      <x:c r="L27" s="11" t="str">
        <x:v>Thôn 2, xã Nam Dong, tỉnh Lâm Đồng</x:v>
      </x:c>
      <x:c r="M27" s="11" t="str">
        <x:v>Đắk Nông cũ</x:v>
      </x:c>
      <x:c r="N27" s="11" t="str">
        <x:v>xã Nam Dong</x:v>
      </x:c>
      <x:c r="O27" s="11" t="str">
        <x:v>SRC-A-768-2025</x:v>
      </x:c>
      <x:c r="P27" s="11" t="str">
        <x:v>A</x:v>
      </x:c>
      <x:c r="Q27" s="11" t="str">
        <x:v>verified_official_decision</x:v>
      </x:c>
      <x:c r="R27" s="26" t="b">
        <x:v>1</x:v>
      </x:c>
      <x:c r="S27" s="11" t="str">
        <x:v>Sản phẩm OCOP Tinh bột nghệ của Cơ sở sản xuất tinh bột nghệ Hải Hoa. Thông tin mô tả đang được hoàn thiện từ nguồn do chủ thể cung cấp.</x:v>
      </x:c>
      <x:c r="T27" s="11" t="str"/>
      <x:c r="U27" s="11" t="str">
        <x:v>placeholder_only</x:v>
      </x:c>
      <x:c r="V27" s="11" t="str"/>
    </x:row>
    <x:row r="28">
      <x:c r="A28" s="11" t="str">
        <x:v>OCOP-2025-0768-002</x:v>
      </x:c>
      <x:c r="B28" s="11" t="str">
        <x:v>Trà Bí đao</x:v>
      </x:c>
      <x:c r="C28" s="11" t="str">
        <x:v>Hợp tác xã Trà Organic Tây Nguyên</x:v>
      </x:c>
      <x:c r="D28" s="11" t="str">
        <x:v>Đồ uống</x:v>
      </x:c>
      <x:c r="E28" s="24" t="n">
        <x:v>3</x:v>
      </x:c>
      <x:c r="F28" s="24" t="n">
        <x:v>2025</x:v>
      </x:c>
      <x:c r="G28" s="11" t="str">
        <x:v>768/QĐ-UBND</x:v>
      </x:c>
      <x:c r="H28" s="25" t="n">
        <x:v>45784</x:v>
      </x:c>
      <x:c r="I28" s="25" t="n">
        <x:v>46880</x:v>
      </x:c>
      <x:c r="J28" s="11" t="str">
        <x:v>UBND huyện Cư Jút</x:v>
      </x:c>
      <x:c r="K28" s="11" t="str">
        <x:v>Thôn 13, xã Nam Dong, huyện Cư Jút, tỉnh Đắk Nông</x:v>
      </x:c>
      <x:c r="L28" s="11" t="str">
        <x:v>Thôn 13, xã Nam Dong, tỉnh Lâm Đồng</x:v>
      </x:c>
      <x:c r="M28" s="11" t="str">
        <x:v>Đắk Nông cũ</x:v>
      </x:c>
      <x:c r="N28" s="11" t="str">
        <x:v>xã Nam Dong</x:v>
      </x:c>
      <x:c r="O28" s="11" t="str">
        <x:v>SRC-A-768-2025</x:v>
      </x:c>
      <x:c r="P28" s="11" t="str">
        <x:v>A</x:v>
      </x:c>
      <x:c r="Q28" s="11" t="str">
        <x:v>verified_official_decision</x:v>
      </x:c>
      <x:c r="R28" s="26" t="b">
        <x:v>1</x:v>
      </x:c>
      <x:c r="S28" s="11" t="str">
        <x:v>Sản phẩm OCOP Trà Bí đao của Hợp tác xã Trà Organic Tây Nguyên. Thông tin mô tả đang được hoàn thiện từ nguồn do chủ thể cung cấp.</x:v>
      </x:c>
      <x:c r="T28" s="11" t="str"/>
      <x:c r="U28" s="11" t="str">
        <x:v>placeholder_only</x:v>
      </x:c>
      <x:c r="V28" s="11" t="str"/>
    </x:row>
    <x:row r="29">
      <x:c r="A29" s="11" t="str">
        <x:v>OCOP-2025-DT-001</x:v>
      </x:c>
      <x:c r="B29" s="11" t="str">
        <x:v>Nấm hương Phú Thịnh tươi</x:v>
      </x:c>
      <x:c r="C29" s="11" t="str">
        <x:v>Công ty TNHH SX TM DV và Vận chuyển Hải Minh Phú</x:v>
      </x:c>
      <x:c r="D29" s="11" t="str">
        <x:v>Thực phẩm</x:v>
      </x:c>
      <x:c r="E29" s="24" t="n">
        <x:v>3</x:v>
      </x:c>
      <x:c r="F29" s="24" t="n">
        <x:v>2025</x:v>
      </x:c>
      <x:c r="G29" s="11" t="str"/>
      <x:c r="H29" s="25" t="str"/>
      <x:c r="I29" s="25" t="str"/>
      <x:c r="J29" s="11" t="str">
        <x:v>UBND huyện Đức Trọng</x:v>
      </x:c>
      <x:c r="K29" s="11" t="str">
        <x:v>thị trấn Liên Nghĩa, huyện Đức Trọng, tỉnh Lâm Đồng</x:v>
      </x:c>
      <x:c r="L29" s="11" t="str">
        <x:v>xã Đức Trọng, tỉnh Lâm Đồng</x:v>
      </x:c>
      <x:c r="M29" s="11" t="str">
        <x:v>Lâm Đồng cũ</x:v>
      </x:c>
      <x:c r="N29" s="11" t="str">
        <x:v>xã Đức Trọng</x:v>
      </x:c>
      <x:c r="O29" s="11" t="str">
        <x:v>SRC-B1-DUCTRONG-2025</x:v>
      </x:c>
      <x:c r="P29" s="11" t="str">
        <x:v>B1</x:v>
      </x:c>
      <x:c r="Q29" s="11" t="str">
        <x:v>verified_government_news</x:v>
      </x:c>
      <x:c r="R29" s="26" t="b">
        <x:v>1</x:v>
      </x:c>
      <x:c r="S29" s="11" t="str">
        <x:v>Sản phẩm OCOP Nấm hương Phú Thịnh tươi của Công ty TNHH SX TM DV và Vận chuyển Hải Minh Phú. Thông tin mô tả đang được hoàn thiện từ nguồn do chủ thể cung cấp.</x:v>
      </x:c>
      <x:c r="T29" s="11" t="str"/>
      <x:c r="U29" s="11" t="str">
        <x:v>placeholder_only</x:v>
      </x:c>
      <x:c r="V29" s="11" t="str">
        <x:v>Báo Lâm Đồng xác nhận trao giấy chứng nhận năm 2025 nhưng chưa tìm được quyết định và ngày ký; hạng 3 sao cần đối chiếu lại khi có phụ lục chính thức.</x:v>
      </x:c>
    </x:row>
    <x:row r="30">
      <x:c r="A30" s="11" t="str">
        <x:v>OCOP-2025-DT-002</x:v>
      </x:c>
      <x:c r="B30" s="11" t="str">
        <x:v>Nấm hương Phú Thịnh khô</x:v>
      </x:c>
      <x:c r="C30" s="11" t="str">
        <x:v>Công ty TNHH SX TM DV và Vận chuyển Hải Minh Phú</x:v>
      </x:c>
      <x:c r="D30" s="11" t="str">
        <x:v>Thực phẩm</x:v>
      </x:c>
      <x:c r="E30" s="24" t="n">
        <x:v>3</x:v>
      </x:c>
      <x:c r="F30" s="24" t="n">
        <x:v>2025</x:v>
      </x:c>
      <x:c r="G30" s="11" t="str"/>
      <x:c r="H30" s="25" t="str"/>
      <x:c r="I30" s="25" t="str"/>
      <x:c r="J30" s="11" t="str">
        <x:v>UBND huyện Đức Trọng</x:v>
      </x:c>
      <x:c r="K30" s="11" t="str">
        <x:v>thị trấn Liên Nghĩa, huyện Đức Trọng, tỉnh Lâm Đồng</x:v>
      </x:c>
      <x:c r="L30" s="11" t="str">
        <x:v>xã Đức Trọng, tỉnh Lâm Đồng</x:v>
      </x:c>
      <x:c r="M30" s="11" t="str">
        <x:v>Lâm Đồng cũ</x:v>
      </x:c>
      <x:c r="N30" s="11" t="str">
        <x:v>xã Đức Trọng</x:v>
      </x:c>
      <x:c r="O30" s="11" t="str">
        <x:v>SRC-B1-DUCTRONG-2025</x:v>
      </x:c>
      <x:c r="P30" s="11" t="str">
        <x:v>B1</x:v>
      </x:c>
      <x:c r="Q30" s="11" t="str">
        <x:v>verified_government_news</x:v>
      </x:c>
      <x:c r="R30" s="26" t="b">
        <x:v>1</x:v>
      </x:c>
      <x:c r="S30" s="11" t="str">
        <x:v>Sản phẩm OCOP Nấm hương Phú Thịnh khô của Công ty TNHH SX TM DV và Vận chuyển Hải Minh Phú. Thông tin mô tả đang được hoàn thiện từ nguồn do chủ thể cung cấp.</x:v>
      </x:c>
      <x:c r="T30" s="11" t="str"/>
      <x:c r="U30" s="11" t="str">
        <x:v>placeholder_only</x:v>
      </x:c>
      <x:c r="V30" s="11" t="str">
        <x:v>Báo Lâm Đồng xác nhận trao giấy chứng nhận năm 2025 nhưng chưa tìm được quyết định và ngày ký; hạng 3 sao cần đối chiếu lại khi có phụ lục chính thức.</x:v>
      </x:c>
    </x:row>
    <x:row r="31">
      <x:c r="A31" s="11" t="str">
        <x:v>OCOP-2025-DT-003</x:v>
      </x:c>
      <x:c r="B31" s="11" t="str">
        <x:v>Nấm bào ngư Phú Thịnh tươi</x:v>
      </x:c>
      <x:c r="C31" s="11" t="str">
        <x:v>Công ty TNHH SX TM DV và Vận chuyển Hải Minh Phú</x:v>
      </x:c>
      <x:c r="D31" s="11" t="str">
        <x:v>Thực phẩm</x:v>
      </x:c>
      <x:c r="E31" s="24" t="n">
        <x:v>3</x:v>
      </x:c>
      <x:c r="F31" s="24" t="n">
        <x:v>2025</x:v>
      </x:c>
      <x:c r="G31" s="11" t="str"/>
      <x:c r="H31" s="25" t="str"/>
      <x:c r="I31" s="25" t="str"/>
      <x:c r="J31" s="11" t="str">
        <x:v>UBND huyện Đức Trọng</x:v>
      </x:c>
      <x:c r="K31" s="11" t="str">
        <x:v>thị trấn Liên Nghĩa, huyện Đức Trọng, tỉnh Lâm Đồng</x:v>
      </x:c>
      <x:c r="L31" s="11" t="str">
        <x:v>xã Đức Trọng, tỉnh Lâm Đồng</x:v>
      </x:c>
      <x:c r="M31" s="11" t="str">
        <x:v>Lâm Đồng cũ</x:v>
      </x:c>
      <x:c r="N31" s="11" t="str">
        <x:v>xã Đức Trọng</x:v>
      </x:c>
      <x:c r="O31" s="11" t="str">
        <x:v>SRC-B1-DUCTRONG-2025</x:v>
      </x:c>
      <x:c r="P31" s="11" t="str">
        <x:v>B1</x:v>
      </x:c>
      <x:c r="Q31" s="11" t="str">
        <x:v>verified_government_news</x:v>
      </x:c>
      <x:c r="R31" s="26" t="b">
        <x:v>1</x:v>
      </x:c>
      <x:c r="S31" s="11" t="str">
        <x:v>Sản phẩm OCOP Nấm bào ngư Phú Thịnh tươi của Công ty TNHH SX TM DV và Vận chuyển Hải Minh Phú. Thông tin mô tả đang được hoàn thiện từ nguồn do chủ thể cung cấp.</x:v>
      </x:c>
      <x:c r="T31" s="11" t="str"/>
      <x:c r="U31" s="11" t="str">
        <x:v>placeholder_only</x:v>
      </x:c>
      <x:c r="V31" s="11" t="str">
        <x:v>Báo Lâm Đồng xác nhận trao giấy chứng nhận năm 2025 nhưng chưa tìm được quyết định và ngày ký; hạng 3 sao cần đối chiếu lại khi có phụ lục chính thức.</x:v>
      </x:c>
    </x:row>
    <x:row r="32">
      <x:c r="A32" s="11" t="str">
        <x:v>OCOP-2025-DT-004</x:v>
      </x:c>
      <x:c r="B32" s="11" t="str">
        <x:v>Rượu gạo sương mù đông trùng hạ thảo</x:v>
      </x:c>
      <x:c r="C32" s="11" t="str">
        <x:v>Công ty TNHH Cordyceps</x:v>
      </x:c>
      <x:c r="D32" s="11" t="str">
        <x:v>Đồ uống</x:v>
      </x:c>
      <x:c r="E32" s="24" t="n">
        <x:v>3</x:v>
      </x:c>
      <x:c r="F32" s="24" t="n">
        <x:v>2025</x:v>
      </x:c>
      <x:c r="G32" s="11" t="str"/>
      <x:c r="H32" s="25" t="str"/>
      <x:c r="I32" s="25" t="str"/>
      <x:c r="J32" s="11" t="str">
        <x:v>UBND huyện Đức Trọng</x:v>
      </x:c>
      <x:c r="K32" s="11" t="str">
        <x:v>xã Bình Thạnh, huyện Đức Trọng, tỉnh Lâm Đồng</x:v>
      </x:c>
      <x:c r="L32" s="11" t="str">
        <x:v>xã Đinh Văn Lâm Hà, tỉnh Lâm Đồng</x:v>
      </x:c>
      <x:c r="M32" s="11" t="str">
        <x:v>Lâm Đồng cũ</x:v>
      </x:c>
      <x:c r="N32" s="11" t="str">
        <x:v>xã Đinh Văn Lâm Hà</x:v>
      </x:c>
      <x:c r="O32" s="11" t="str">
        <x:v>SRC-B1-DUCTRONG-2025</x:v>
      </x:c>
      <x:c r="P32" s="11" t="str">
        <x:v>B1</x:v>
      </x:c>
      <x:c r="Q32" s="11" t="str">
        <x:v>verified_government_news</x:v>
      </x:c>
      <x:c r="R32" s="26" t="b">
        <x:v>1</x:v>
      </x:c>
      <x:c r="S32" s="11" t="str">
        <x:v>Sản phẩm OCOP Rượu gạo sương mù đông trùng hạ thảo của Công ty TNHH Cordyceps. Thông tin mô tả đang được hoàn thiện từ nguồn do chủ thể cung cấp.</x:v>
      </x:c>
      <x:c r="T32" s="11" t="str"/>
      <x:c r="U32" s="11" t="str">
        <x:v>placeholder_only</x:v>
      </x:c>
      <x:c r="V32" s="11" t="str">
        <x:v>Báo Lâm Đồng xác nhận trao giấy chứng nhận năm 2025 nhưng chưa tìm được quyết định và ngày ký; hạng 3 sao cần đối chiếu lại khi có phụ lục chính thức.</x:v>
      </x:c>
    </x:row>
    <x:row r="33">
      <x:c r="A33" s="11" t="str">
        <x:v>OCOP-2025-DT-005</x:v>
      </x:c>
      <x:c r="B33" s="11" t="str">
        <x:v>Dâu tằm trái tươi</x:v>
      </x:c>
      <x:c r="C33" s="11" t="str">
        <x:v>Hộ kinh doanh Phạm Thanh Nghĩa</x:v>
      </x:c>
      <x:c r="D33" s="11" t="str">
        <x:v>Thực phẩm</x:v>
      </x:c>
      <x:c r="E33" s="24" t="n">
        <x:v>3</x:v>
      </x:c>
      <x:c r="F33" s="24" t="n">
        <x:v>2025</x:v>
      </x:c>
      <x:c r="G33" s="11" t="str"/>
      <x:c r="H33" s="25" t="str"/>
      <x:c r="I33" s="25" t="str"/>
      <x:c r="J33" s="11" t="str">
        <x:v>UBND huyện Đức Trọng</x:v>
      </x:c>
      <x:c r="K33" s="11" t="str">
        <x:v>xã Hiệp Thạnh, huyện Đức Trọng, tỉnh Lâm Đồng</x:v>
      </x:c>
      <x:c r="L33" s="11" t="str">
        <x:v>xã Hiệp Thạnh, tỉnh Lâm Đồng</x:v>
      </x:c>
      <x:c r="M33" s="11" t="str">
        <x:v>Lâm Đồng cũ</x:v>
      </x:c>
      <x:c r="N33" s="11" t="str">
        <x:v>xã Hiệp Thạnh</x:v>
      </x:c>
      <x:c r="O33" s="11" t="str">
        <x:v>SRC-B1-DUCTRONG-2025</x:v>
      </x:c>
      <x:c r="P33" s="11" t="str">
        <x:v>B1</x:v>
      </x:c>
      <x:c r="Q33" s="11" t="str">
        <x:v>verified_government_news</x:v>
      </x:c>
      <x:c r="R33" s="26" t="b">
        <x:v>1</x:v>
      </x:c>
      <x:c r="S33" s="11" t="str">
        <x:v>Sản phẩm OCOP Dâu tằm trái tươi của Hộ kinh doanh Phạm Thanh Nghĩa. Thông tin mô tả đang được hoàn thiện từ nguồn do chủ thể cung cấp.</x:v>
      </x:c>
      <x:c r="T33" s="11" t="str"/>
      <x:c r="U33" s="11" t="str">
        <x:v>placeholder_only</x:v>
      </x:c>
      <x:c r="V33" s="11" t="str">
        <x:v>Báo Lâm Đồng xác nhận trao giấy chứng nhận năm 2025 nhưng chưa tìm được quyết định và ngày ký; hạng 3 sao cần đối chiếu lại khi có phụ lục chính thức.</x:v>
      </x:c>
    </x:row>
    <x:row r="34">
      <x:c r="A34" s="11" t="str">
        <x:v>OCOP-2025-DT-006</x:v>
      </x:c>
      <x:c r="B34" s="11" t="str">
        <x:v>Đông trùng hạ thảo sấy thăng hoa</x:v>
      </x:c>
      <x:c r="C34" s="11" t="str">
        <x:v>Công ty TNHH Nấm Tâm Phúc Lâm Đồng</x:v>
      </x:c>
      <x:c r="D34" s="11" t="str">
        <x:v>Thảo dược</x:v>
      </x:c>
      <x:c r="E34" s="24" t="n">
        <x:v>3</x:v>
      </x:c>
      <x:c r="F34" s="24" t="n">
        <x:v>2025</x:v>
      </x:c>
      <x:c r="G34" s="11" t="str"/>
      <x:c r="H34" s="25" t="str"/>
      <x:c r="I34" s="25" t="str"/>
      <x:c r="J34" s="11" t="str">
        <x:v>UBND huyện Đức Trọng</x:v>
      </x:c>
      <x:c r="K34" s="11" t="str">
        <x:v>thị trấn Liên Nghĩa, huyện Đức Trọng, tỉnh Lâm Đồng</x:v>
      </x:c>
      <x:c r="L34" s="11" t="str">
        <x:v>xã Đức Trọng, tỉnh Lâm Đồng</x:v>
      </x:c>
      <x:c r="M34" s="11" t="str">
        <x:v>Lâm Đồng cũ</x:v>
      </x:c>
      <x:c r="N34" s="11" t="str">
        <x:v>xã Đức Trọng</x:v>
      </x:c>
      <x:c r="O34" s="11" t="str">
        <x:v>SRC-B1-DUCTRONG-2025</x:v>
      </x:c>
      <x:c r="P34" s="11" t="str">
        <x:v>B1</x:v>
      </x:c>
      <x:c r="Q34" s="11" t="str">
        <x:v>verified_government_news</x:v>
      </x:c>
      <x:c r="R34" s="26" t="b">
        <x:v>1</x:v>
      </x:c>
      <x:c r="S34" s="11" t="str">
        <x:v>Sản phẩm OCOP Đông trùng hạ thảo sấy thăng hoa của Công ty TNHH Nấm Tâm Phúc Lâm Đồng. Thông tin mô tả đang được hoàn thiện từ nguồn do chủ thể cung cấp.</x:v>
      </x:c>
      <x:c r="T34" s="11" t="str"/>
      <x:c r="U34" s="11" t="str">
        <x:v>placeholder_only</x:v>
      </x:c>
      <x:c r="V34" s="11" t="str">
        <x:v>Báo Lâm Đồng xác nhận trao giấy chứng nhận năm 2025 nhưng chưa tìm được quyết định và ngày ký; hạng 3 sao cần đối chiếu lại khi có phụ lục chính thức.</x:v>
      </x:c>
    </x:row>
    <x:row r="35">
      <x:c r="A35" s="11" t="str">
        <x:v>OCOP-2025-DT-007</x:v>
      </x:c>
      <x:c r="B35" s="11" t="str">
        <x:v>Đông trùng hạ thảo ngâm mật ong</x:v>
      </x:c>
      <x:c r="C35" s="11" t="str">
        <x:v>Công ty TNHH Nấm Tâm Phúc Lâm Đồng</x:v>
      </x:c>
      <x:c r="D35" s="11" t="str">
        <x:v>Thảo dược</x:v>
      </x:c>
      <x:c r="E35" s="24" t="n">
        <x:v>3</x:v>
      </x:c>
      <x:c r="F35" s="24" t="n">
        <x:v>2025</x:v>
      </x:c>
      <x:c r="G35" s="11" t="str"/>
      <x:c r="H35" s="25" t="str"/>
      <x:c r="I35" s="25" t="str"/>
      <x:c r="J35" s="11" t="str">
        <x:v>UBND huyện Đức Trọng</x:v>
      </x:c>
      <x:c r="K35" s="11" t="str">
        <x:v>thị trấn Liên Nghĩa, huyện Đức Trọng, tỉnh Lâm Đồng</x:v>
      </x:c>
      <x:c r="L35" s="11" t="str">
        <x:v>xã Đức Trọng, tỉnh Lâm Đồng</x:v>
      </x:c>
      <x:c r="M35" s="11" t="str">
        <x:v>Lâm Đồng cũ</x:v>
      </x:c>
      <x:c r="N35" s="11" t="str">
        <x:v>xã Đức Trọng</x:v>
      </x:c>
      <x:c r="O35" s="11" t="str">
        <x:v>SRC-B1-DUCTRONG-2025</x:v>
      </x:c>
      <x:c r="P35" s="11" t="str">
        <x:v>B1</x:v>
      </x:c>
      <x:c r="Q35" s="11" t="str">
        <x:v>verified_government_news</x:v>
      </x:c>
      <x:c r="R35" s="26" t="b">
        <x:v>1</x:v>
      </x:c>
      <x:c r="S35" s="11" t="str">
        <x:v>Sản phẩm OCOP Đông trùng hạ thảo ngâm mật ong của Công ty TNHH Nấm Tâm Phúc Lâm Đồng. Thông tin mô tả đang được hoàn thiện từ nguồn do chủ thể cung cấp.</x:v>
      </x:c>
      <x:c r="T35" s="11" t="str"/>
      <x:c r="U35" s="11" t="str">
        <x:v>placeholder_only</x:v>
      </x:c>
      <x:c r="V35" s="11" t="str">
        <x:v>Báo Lâm Đồng xác nhận trao giấy chứng nhận năm 2025 nhưng chưa tìm được quyết định và ngày ký; hạng 3 sao cần đối chiếu lại khi có phụ lục chính thức.</x:v>
      </x:c>
    </x:row>
    <x:row r="36">
      <x:c r="A36" s="11" t="str">
        <x:v>OCOP-2025-DT-008</x:v>
      </x:c>
      <x:c r="B36" s="11" t="str">
        <x:v>Rượu đông trùng hạ thảo</x:v>
      </x:c>
      <x:c r="C36" s="11" t="str">
        <x:v>Công ty TNHH Nấm Tâm Phúc Lâm Đồng</x:v>
      </x:c>
      <x:c r="D36" s="11" t="str">
        <x:v>Đồ uống</x:v>
      </x:c>
      <x:c r="E36" s="24" t="n">
        <x:v>3</x:v>
      </x:c>
      <x:c r="F36" s="24" t="n">
        <x:v>2025</x:v>
      </x:c>
      <x:c r="G36" s="11" t="str"/>
      <x:c r="H36" s="25" t="str"/>
      <x:c r="I36" s="25" t="str"/>
      <x:c r="J36" s="11" t="str">
        <x:v>UBND huyện Đức Trọng</x:v>
      </x:c>
      <x:c r="K36" s="11" t="str">
        <x:v>thị trấn Liên Nghĩa, huyện Đức Trọng, tỉnh Lâm Đồng</x:v>
      </x:c>
      <x:c r="L36" s="11" t="str">
        <x:v>xã Đức Trọng, tỉnh Lâm Đồng</x:v>
      </x:c>
      <x:c r="M36" s="11" t="str">
        <x:v>Lâm Đồng cũ</x:v>
      </x:c>
      <x:c r="N36" s="11" t="str">
        <x:v>xã Đức Trọng</x:v>
      </x:c>
      <x:c r="O36" s="11" t="str">
        <x:v>SRC-B1-DUCTRONG-2025</x:v>
      </x:c>
      <x:c r="P36" s="11" t="str">
        <x:v>B1</x:v>
      </x:c>
      <x:c r="Q36" s="11" t="str">
        <x:v>verified_government_news</x:v>
      </x:c>
      <x:c r="R36" s="26" t="b">
        <x:v>1</x:v>
      </x:c>
      <x:c r="S36" s="11" t="str">
        <x:v>Sản phẩm OCOP Rượu đông trùng hạ thảo của Công ty TNHH Nấm Tâm Phúc Lâm Đồng. Thông tin mô tả đang được hoàn thiện từ nguồn do chủ thể cung cấp.</x:v>
      </x:c>
      <x:c r="T36" s="11" t="str"/>
      <x:c r="U36" s="11" t="str">
        <x:v>placeholder_only</x:v>
      </x:c>
      <x:c r="V36" s="11" t="str">
        <x:v>Báo Lâm Đồng xác nhận trao giấy chứng nhận năm 2025 nhưng chưa tìm được quyết định và ngày ký; hạng 3 sao cần đối chiếu lại khi có phụ lục chính thức.</x:v>
      </x:c>
    </x:row>
    <x:row r="37">
      <x:c r="A37" s="11" t="str">
        <x:v>OCOP-2025-DT-009</x:v>
      </x:c>
      <x:c r="B37" s="11" t="str">
        <x:v>Trà đông trùng hạ thảo tứ vị</x:v>
      </x:c>
      <x:c r="C37" s="11" t="str">
        <x:v>Công ty TNHH Nấm Tâm Phúc Lâm Đồng</x:v>
      </x:c>
      <x:c r="D37" s="11" t="str">
        <x:v>Đồ uống</x:v>
      </x:c>
      <x:c r="E37" s="24" t="n">
        <x:v>3</x:v>
      </x:c>
      <x:c r="F37" s="24" t="n">
        <x:v>2025</x:v>
      </x:c>
      <x:c r="G37" s="11" t="str"/>
      <x:c r="H37" s="25" t="str"/>
      <x:c r="I37" s="25" t="str"/>
      <x:c r="J37" s="11" t="str">
        <x:v>UBND huyện Đức Trọng</x:v>
      </x:c>
      <x:c r="K37" s="11" t="str">
        <x:v>thị trấn Liên Nghĩa, huyện Đức Trọng, tỉnh Lâm Đồng</x:v>
      </x:c>
      <x:c r="L37" s="11" t="str">
        <x:v>xã Đức Trọng, tỉnh Lâm Đồng</x:v>
      </x:c>
      <x:c r="M37" s="11" t="str">
        <x:v>Lâm Đồng cũ</x:v>
      </x:c>
      <x:c r="N37" s="11" t="str">
        <x:v>xã Đức Trọng</x:v>
      </x:c>
      <x:c r="O37" s="11" t="str">
        <x:v>SRC-B1-DUCTRONG-2025</x:v>
      </x:c>
      <x:c r="P37" s="11" t="str">
        <x:v>B1</x:v>
      </x:c>
      <x:c r="Q37" s="11" t="str">
        <x:v>verified_government_news</x:v>
      </x:c>
      <x:c r="R37" s="26" t="b">
        <x:v>1</x:v>
      </x:c>
      <x:c r="S37" s="11" t="str">
        <x:v>Sản phẩm OCOP Trà đông trùng hạ thảo tứ vị của Công ty TNHH Nấm Tâm Phúc Lâm Đồng. Thông tin mô tả đang được hoàn thiện từ nguồn do chủ thể cung cấp.</x:v>
      </x:c>
      <x:c r="T37" s="11" t="str"/>
      <x:c r="U37" s="11" t="str">
        <x:v>placeholder_only</x:v>
      </x:c>
      <x:c r="V37" s="11" t="str">
        <x:v>Báo Lâm Đồng xác nhận trao giấy chứng nhận năm 2025 nhưng chưa tìm được quyết định và ngày ký; hạng 3 sao cần đối chiếu lại khi có phụ lục chính thức.</x:v>
      </x:c>
    </x:row>
    <x:row r="38">
      <x:c r="A38" s="11" t="str">
        <x:v>OCOP-2025-DT-010</x:v>
      </x:c>
      <x:c r="B38" s="11" t="str">
        <x:v>Chanh dây sấy dẻo</x:v>
      </x:c>
      <x:c r="C38" s="11" t="str">
        <x:v>Công ty Cổ phần Chế biến Thực phẩm Đà Lạt Tự Nhiên</x:v>
      </x:c>
      <x:c r="D38" s="11" t="str">
        <x:v>Thực phẩm</x:v>
      </x:c>
      <x:c r="E38" s="24" t="n">
        <x:v>3</x:v>
      </x:c>
      <x:c r="F38" s="24" t="n">
        <x:v>2025</x:v>
      </x:c>
      <x:c r="G38" s="11" t="str"/>
      <x:c r="H38" s="25" t="str"/>
      <x:c r="I38" s="25" t="str"/>
      <x:c r="J38" s="11" t="str">
        <x:v>UBND huyện Đức Trọng</x:v>
      </x:c>
      <x:c r="K38" s="11" t="str">
        <x:v>xã Phú Hội, huyện Đức Trọng, tỉnh Lâm Đồng</x:v>
      </x:c>
      <x:c r="L38" s="11" t="str">
        <x:v>xã Đức Trọng, tỉnh Lâm Đồng</x:v>
      </x:c>
      <x:c r="M38" s="11" t="str">
        <x:v>Lâm Đồng cũ</x:v>
      </x:c>
      <x:c r="N38" s="11" t="str">
        <x:v>xã Đức Trọng</x:v>
      </x:c>
      <x:c r="O38" s="11" t="str">
        <x:v>SRC-B1-DUCTRONG-2025</x:v>
      </x:c>
      <x:c r="P38" s="11" t="str">
        <x:v>B1</x:v>
      </x:c>
      <x:c r="Q38" s="11" t="str">
        <x:v>verified_government_news</x:v>
      </x:c>
      <x:c r="R38" s="26" t="b">
        <x:v>1</x:v>
      </x:c>
      <x:c r="S38" s="11" t="str">
        <x:v>Sản phẩm OCOP Chanh dây sấy dẻo của Công ty Cổ phần Chế biến Thực phẩm Đà Lạt Tự Nhiên. Thông tin mô tả đang được hoàn thiện từ nguồn do chủ thể cung cấp.</x:v>
      </x:c>
      <x:c r="T38" s="11" t="str"/>
      <x:c r="U38" s="11" t="str">
        <x:v>placeholder_only</x:v>
      </x:c>
      <x:c r="V38" s="11" t="str">
        <x:v>Báo Lâm Đồng xác nhận trao giấy chứng nhận năm 2025 nhưng chưa tìm được quyết định và ngày ký; hạng 3 sao cần đối chiếu lại khi có phụ lục chính thức.</x:v>
      </x:c>
    </x:row>
    <x:row r="39">
      <x:c r="A39" s="11" t="str">
        <x:v>OCOP-2025-DT-011</x:v>
      </x:c>
      <x:c r="B39" s="11" t="str">
        <x:v>Khoai lang sấy dẻo</x:v>
      </x:c>
      <x:c r="C39" s="11" t="str">
        <x:v>Công ty Cổ phần Chế biến Thực phẩm Đà Lạt Tự Nhiên</x:v>
      </x:c>
      <x:c r="D39" s="11" t="str">
        <x:v>Thực phẩm</x:v>
      </x:c>
      <x:c r="E39" s="24" t="n">
        <x:v>3</x:v>
      </x:c>
      <x:c r="F39" s="24" t="n">
        <x:v>2025</x:v>
      </x:c>
      <x:c r="G39" s="11" t="str"/>
      <x:c r="H39" s="25" t="str"/>
      <x:c r="I39" s="25" t="str"/>
      <x:c r="J39" s="11" t="str">
        <x:v>UBND huyện Đức Trọng</x:v>
      </x:c>
      <x:c r="K39" s="11" t="str">
        <x:v>xã Phú Hội, huyện Đức Trọng, tỉnh Lâm Đồng</x:v>
      </x:c>
      <x:c r="L39" s="11" t="str">
        <x:v>xã Đức Trọng, tỉnh Lâm Đồng</x:v>
      </x:c>
      <x:c r="M39" s="11" t="str">
        <x:v>Lâm Đồng cũ</x:v>
      </x:c>
      <x:c r="N39" s="11" t="str">
        <x:v>xã Đức Trọng</x:v>
      </x:c>
      <x:c r="O39" s="11" t="str">
        <x:v>SRC-B1-DUCTRONG-2025</x:v>
      </x:c>
      <x:c r="P39" s="11" t="str">
        <x:v>B1</x:v>
      </x:c>
      <x:c r="Q39" s="11" t="str">
        <x:v>verified_government_news</x:v>
      </x:c>
      <x:c r="R39" s="26" t="b">
        <x:v>1</x:v>
      </x:c>
      <x:c r="S39" s="11" t="str">
        <x:v>Sản phẩm OCOP Khoai lang sấy dẻo của Công ty Cổ phần Chế biến Thực phẩm Đà Lạt Tự Nhiên. Thông tin mô tả đang được hoàn thiện từ nguồn do chủ thể cung cấp.</x:v>
      </x:c>
      <x:c r="T39" s="11" t="str"/>
      <x:c r="U39" s="11" t="str">
        <x:v>placeholder_only</x:v>
      </x:c>
      <x:c r="V39" s="11" t="str">
        <x:v>Báo Lâm Đồng xác nhận trao giấy chứng nhận năm 2025 nhưng chưa tìm được quyết định và ngày ký; hạng 3 sao cần đối chiếu lại khi có phụ lục chính thức.</x:v>
      </x:c>
    </x:row>
    <x:row r="40">
      <x:c r="A40" s="11" t="str">
        <x:v>OCOP-2025-DT-012</x:v>
      </x:c>
      <x:c r="B40" s="11" t="str">
        <x:v>Cà chua sấy dẻo</x:v>
      </x:c>
      <x:c r="C40" s="11" t="str">
        <x:v>Công ty Cổ phần Chế biến Thực phẩm Đà Lạt Tự Nhiên</x:v>
      </x:c>
      <x:c r="D40" s="11" t="str">
        <x:v>Thực phẩm</x:v>
      </x:c>
      <x:c r="E40" s="24" t="n">
        <x:v>3</x:v>
      </x:c>
      <x:c r="F40" s="24" t="n">
        <x:v>2025</x:v>
      </x:c>
      <x:c r="G40" s="11" t="str"/>
      <x:c r="H40" s="25" t="str"/>
      <x:c r="I40" s="25" t="str"/>
      <x:c r="J40" s="11" t="str">
        <x:v>UBND huyện Đức Trọng</x:v>
      </x:c>
      <x:c r="K40" s="11" t="str">
        <x:v>xã Phú Hội, huyện Đức Trọng, tỉnh Lâm Đồng</x:v>
      </x:c>
      <x:c r="L40" s="11" t="str">
        <x:v>xã Đức Trọng, tỉnh Lâm Đồng</x:v>
      </x:c>
      <x:c r="M40" s="11" t="str">
        <x:v>Lâm Đồng cũ</x:v>
      </x:c>
      <x:c r="N40" s="11" t="str">
        <x:v>xã Đức Trọng</x:v>
      </x:c>
      <x:c r="O40" s="11" t="str">
        <x:v>SRC-B1-DUCTRONG-2025</x:v>
      </x:c>
      <x:c r="P40" s="11" t="str">
        <x:v>B1</x:v>
      </x:c>
      <x:c r="Q40" s="11" t="str">
        <x:v>verified_government_news</x:v>
      </x:c>
      <x:c r="R40" s="26" t="b">
        <x:v>1</x:v>
      </x:c>
      <x:c r="S40" s="11" t="str">
        <x:v>Sản phẩm OCOP Cà chua sấy dẻo của Công ty Cổ phần Chế biến Thực phẩm Đà Lạt Tự Nhiên. Thông tin mô tả đang được hoàn thiện từ nguồn do chủ thể cung cấp.</x:v>
      </x:c>
      <x:c r="T40" s="11" t="str"/>
      <x:c r="U40" s="11" t="str">
        <x:v>placeholder_only</x:v>
      </x:c>
      <x:c r="V40" s="11" t="str">
        <x:v>Báo Lâm Đồng xác nhận trao giấy chứng nhận năm 2025 nhưng chưa tìm được quyết định và ngày ký; hạng 3 sao cần đối chiếu lại khi có phụ lục chính thức.</x:v>
      </x:c>
    </x:row>
    <x:row r="41">
      <x:c r="A41" s="11" t="str">
        <x:v>OCOP-2025-DT-013</x:v>
      </x:c>
      <x:c r="B41" s="11" t="str">
        <x:v>Thơm sấy dẻo</x:v>
      </x:c>
      <x:c r="C41" s="11" t="str">
        <x:v>Công ty TNHH SX TM DV Ngô Mai Hoa</x:v>
      </x:c>
      <x:c r="D41" s="11" t="str">
        <x:v>Thực phẩm</x:v>
      </x:c>
      <x:c r="E41" s="24" t="n">
        <x:v>3</x:v>
      </x:c>
      <x:c r="F41" s="24" t="n">
        <x:v>2025</x:v>
      </x:c>
      <x:c r="G41" s="11" t="str"/>
      <x:c r="H41" s="25" t="str"/>
      <x:c r="I41" s="25" t="str"/>
      <x:c r="J41" s="11" t="str">
        <x:v>UBND huyện Đức Trọng</x:v>
      </x:c>
      <x:c r="K41" s="11" t="str">
        <x:v>thị trấn Liên Nghĩa, huyện Đức Trọng, tỉnh Lâm Đồng</x:v>
      </x:c>
      <x:c r="L41" s="11" t="str">
        <x:v>xã Đức Trọng, tỉnh Lâm Đồng</x:v>
      </x:c>
      <x:c r="M41" s="11" t="str">
        <x:v>Lâm Đồng cũ</x:v>
      </x:c>
      <x:c r="N41" s="11" t="str">
        <x:v>xã Đức Trọng</x:v>
      </x:c>
      <x:c r="O41" s="11" t="str">
        <x:v>SRC-B1-DUCTRONG-2025</x:v>
      </x:c>
      <x:c r="P41" s="11" t="str">
        <x:v>B1</x:v>
      </x:c>
      <x:c r="Q41" s="11" t="str">
        <x:v>verified_government_news</x:v>
      </x:c>
      <x:c r="R41" s="26" t="b">
        <x:v>1</x:v>
      </x:c>
      <x:c r="S41" s="11" t="str">
        <x:v>Sản phẩm OCOP Thơm sấy dẻo của Công ty TNHH SX TM DV Ngô Mai Hoa. Thông tin mô tả đang được hoàn thiện từ nguồn do chủ thể cung cấp.</x:v>
      </x:c>
      <x:c r="T41" s="11" t="str"/>
      <x:c r="U41" s="11" t="str">
        <x:v>placeholder_only</x:v>
      </x:c>
      <x:c r="V41" s="11" t="str">
        <x:v>Báo Lâm Đồng xác nhận trao giấy chứng nhận năm 2025 nhưng chưa tìm được quyết định và ngày ký; hạng 3 sao cần đối chiếu lại khi có phụ lục chính thức.</x:v>
      </x:c>
    </x:row>
    <x:row r="42">
      <x:c r="A42" s="11" t="str">
        <x:v>OCOP-2025-DT-014</x:v>
      </x:c>
      <x:c r="B42" s="11" t="str">
        <x:v>Chanh dây sấy dẻo</x:v>
      </x:c>
      <x:c r="C42" s="11" t="str">
        <x:v>Công ty TNHH SX TM DV Ngô Mai Hoa</x:v>
      </x:c>
      <x:c r="D42" s="11" t="str">
        <x:v>Thực phẩm</x:v>
      </x:c>
      <x:c r="E42" s="24" t="n">
        <x:v>3</x:v>
      </x:c>
      <x:c r="F42" s="24" t="n">
        <x:v>2025</x:v>
      </x:c>
      <x:c r="G42" s="11" t="str"/>
      <x:c r="H42" s="25" t="str"/>
      <x:c r="I42" s="25" t="str"/>
      <x:c r="J42" s="11" t="str">
        <x:v>UBND huyện Đức Trọng</x:v>
      </x:c>
      <x:c r="K42" s="11" t="str">
        <x:v>thị trấn Liên Nghĩa, huyện Đức Trọng, tỉnh Lâm Đồng</x:v>
      </x:c>
      <x:c r="L42" s="11" t="str">
        <x:v>xã Đức Trọng, tỉnh Lâm Đồng</x:v>
      </x:c>
      <x:c r="M42" s="11" t="str">
        <x:v>Lâm Đồng cũ</x:v>
      </x:c>
      <x:c r="N42" s="11" t="str">
        <x:v>xã Đức Trọng</x:v>
      </x:c>
      <x:c r="O42" s="11" t="str">
        <x:v>SRC-B1-DUCTRONG-2025</x:v>
      </x:c>
      <x:c r="P42" s="11" t="str">
        <x:v>B1</x:v>
      </x:c>
      <x:c r="Q42" s="11" t="str">
        <x:v>verified_government_news</x:v>
      </x:c>
      <x:c r="R42" s="26" t="b">
        <x:v>1</x:v>
      </x:c>
      <x:c r="S42" s="11" t="str">
        <x:v>Sản phẩm OCOP Chanh dây sấy dẻo của Công ty TNHH SX TM DV Ngô Mai Hoa. Thông tin mô tả đang được hoàn thiện từ nguồn do chủ thể cung cấp.</x:v>
      </x:c>
      <x:c r="T42" s="11" t="str"/>
      <x:c r="U42" s="11" t="str">
        <x:v>placeholder_only</x:v>
      </x:c>
      <x:c r="V42" s="11" t="str">
        <x:v>Báo Lâm Đồng xác nhận trao giấy chứng nhận năm 2025 nhưng chưa tìm được quyết định và ngày ký; hạng 3 sao cần đối chiếu lại khi có phụ lục chính thức.</x:v>
      </x:c>
    </x:row>
    <x:row r="43">
      <x:c r="A43" s="11" t="str">
        <x:v>OCOP-2025-DT-015</x:v>
      </x:c>
      <x:c r="B43" s="11" t="str">
        <x:v>Khoai Khoái sấy giòn vị rong biển</x:v>
      </x:c>
      <x:c r="C43" s="11" t="str">
        <x:v>Công ty Cổ phần Viên Sơn</x:v>
      </x:c>
      <x:c r="D43" s="11" t="str">
        <x:v>Thực phẩm</x:v>
      </x:c>
      <x:c r="E43" s="24" t="n">
        <x:v>3</x:v>
      </x:c>
      <x:c r="F43" s="24" t="n">
        <x:v>2025</x:v>
      </x:c>
      <x:c r="G43" s="11" t="str"/>
      <x:c r="H43" s="25" t="str"/>
      <x:c r="I43" s="25" t="str"/>
      <x:c r="J43" s="11" t="str">
        <x:v>UBND huyện Đức Trọng</x:v>
      </x:c>
      <x:c r="K43" s="11" t="str">
        <x:v>xã Liên Hiệp, huyện Đức Trọng, tỉnh Lâm Đồng</x:v>
      </x:c>
      <x:c r="L43" s="11" t="str">
        <x:v>xã Hiệp Thạnh, tỉnh Lâm Đồng</x:v>
      </x:c>
      <x:c r="M43" s="11" t="str">
        <x:v>Lâm Đồng cũ</x:v>
      </x:c>
      <x:c r="N43" s="11" t="str">
        <x:v>xã Hiệp Thạnh</x:v>
      </x:c>
      <x:c r="O43" s="11" t="str">
        <x:v>SRC-B1-DUCTRONG-2025</x:v>
      </x:c>
      <x:c r="P43" s="11" t="str">
        <x:v>B1</x:v>
      </x:c>
      <x:c r="Q43" s="11" t="str">
        <x:v>verified_government_news</x:v>
      </x:c>
      <x:c r="R43" s="26" t="b">
        <x:v>1</x:v>
      </x:c>
      <x:c r="S43" s="11" t="str">
        <x:v>Sản phẩm OCOP Khoai Khoái sấy giòn vị rong biển của Công ty Cổ phần Viên Sơn. Thông tin mô tả đang được hoàn thiện từ nguồn do chủ thể cung cấp.</x:v>
      </x:c>
      <x:c r="T43" s="11" t="str"/>
      <x:c r="U43" s="11" t="str">
        <x:v>placeholder_only</x:v>
      </x:c>
      <x:c r="V43" s="11" t="str">
        <x:v>Báo Lâm Đồng xác nhận trao giấy chứng nhận năm 2025 nhưng chưa tìm được quyết định và ngày ký; hạng 3 sao cần đối chiếu lại khi có phụ lục chính thức.</x:v>
      </x:c>
    </x:row>
    <x:row r="44">
      <x:c r="A44" s="11" t="str">
        <x:v>OCOP-2025-DT-016</x:v>
      </x:c>
      <x:c r="B44" s="11" t="str">
        <x:v>Khoai Khoái sấy giòn vị bò đút lò</x:v>
      </x:c>
      <x:c r="C44" s="11" t="str">
        <x:v>Công ty Cổ phần Viên Sơn</x:v>
      </x:c>
      <x:c r="D44" s="11" t="str">
        <x:v>Thực phẩm</x:v>
      </x:c>
      <x:c r="E44" s="24" t="n">
        <x:v>3</x:v>
      </x:c>
      <x:c r="F44" s="24" t="n">
        <x:v>2025</x:v>
      </x:c>
      <x:c r="G44" s="11" t="str"/>
      <x:c r="H44" s="25" t="str"/>
      <x:c r="I44" s="25" t="str"/>
      <x:c r="J44" s="11" t="str">
        <x:v>UBND huyện Đức Trọng</x:v>
      </x:c>
      <x:c r="K44" s="11" t="str">
        <x:v>xã Liên Hiệp, huyện Đức Trọng, tỉnh Lâm Đồng</x:v>
      </x:c>
      <x:c r="L44" s="11" t="str">
        <x:v>xã Hiệp Thạnh, tỉnh Lâm Đồng</x:v>
      </x:c>
      <x:c r="M44" s="11" t="str">
        <x:v>Lâm Đồng cũ</x:v>
      </x:c>
      <x:c r="N44" s="11" t="str">
        <x:v>xã Hiệp Thạnh</x:v>
      </x:c>
      <x:c r="O44" s="11" t="str">
        <x:v>SRC-B1-DUCTRONG-2025</x:v>
      </x:c>
      <x:c r="P44" s="11" t="str">
        <x:v>B1</x:v>
      </x:c>
      <x:c r="Q44" s="11" t="str">
        <x:v>verified_government_news</x:v>
      </x:c>
      <x:c r="R44" s="26" t="b">
        <x:v>1</x:v>
      </x:c>
      <x:c r="S44" s="11" t="str">
        <x:v>Sản phẩm OCOP Khoai Khoái sấy giòn vị bò đút lò của Công ty Cổ phần Viên Sơn. Thông tin mô tả đang được hoàn thiện từ nguồn do chủ thể cung cấp.</x:v>
      </x:c>
      <x:c r="T44" s="11" t="str"/>
      <x:c r="U44" s="11" t="str">
        <x:v>placeholder_only</x:v>
      </x:c>
      <x:c r="V44" s="11" t="str">
        <x:v>Báo Lâm Đồng xác nhận trao giấy chứng nhận năm 2025 nhưng chưa tìm được quyết định và ngày ký; hạng 3 sao cần đối chiếu lại khi có phụ lục chính thức.</x:v>
      </x:c>
    </x:row>
    <x:row r="45">
      <x:c r="A45" s="11" t="str">
        <x:v>OCOP-2025-DT-017</x:v>
      </x:c>
      <x:c r="B45" s="11" t="str">
        <x:v>Khoai Khoái sấy giòn vị matcha đường đen</x:v>
      </x:c>
      <x:c r="C45" s="11" t="str">
        <x:v>Công ty Cổ phần Viên Sơn</x:v>
      </x:c>
      <x:c r="D45" s="11" t="str">
        <x:v>Thực phẩm</x:v>
      </x:c>
      <x:c r="E45" s="24" t="n">
        <x:v>3</x:v>
      </x:c>
      <x:c r="F45" s="24" t="n">
        <x:v>2025</x:v>
      </x:c>
      <x:c r="G45" s="11" t="str"/>
      <x:c r="H45" s="25" t="str"/>
      <x:c r="I45" s="25" t="str"/>
      <x:c r="J45" s="11" t="str">
        <x:v>UBND huyện Đức Trọng</x:v>
      </x:c>
      <x:c r="K45" s="11" t="str">
        <x:v>xã Liên Hiệp, huyện Đức Trọng, tỉnh Lâm Đồng</x:v>
      </x:c>
      <x:c r="L45" s="11" t="str">
        <x:v>xã Hiệp Thạnh, tỉnh Lâm Đồng</x:v>
      </x:c>
      <x:c r="M45" s="11" t="str">
        <x:v>Lâm Đồng cũ</x:v>
      </x:c>
      <x:c r="N45" s="11" t="str">
        <x:v>xã Hiệp Thạnh</x:v>
      </x:c>
      <x:c r="O45" s="11" t="str">
        <x:v>SRC-B1-DUCTRONG-2025</x:v>
      </x:c>
      <x:c r="P45" s="11" t="str">
        <x:v>B1</x:v>
      </x:c>
      <x:c r="Q45" s="11" t="str">
        <x:v>verified_government_news</x:v>
      </x:c>
      <x:c r="R45" s="26" t="b">
        <x:v>1</x:v>
      </x:c>
      <x:c r="S45" s="11" t="str">
        <x:v>Sản phẩm OCOP Khoai Khoái sấy giòn vị matcha đường đen của Công ty Cổ phần Viên Sơn. Thông tin mô tả đang được hoàn thiện từ nguồn do chủ thể cung cấp.</x:v>
      </x:c>
      <x:c r="T45" s="11" t="str"/>
      <x:c r="U45" s="11" t="str">
        <x:v>placeholder_only</x:v>
      </x:c>
      <x:c r="V45" s="11" t="str">
        <x:v>Báo Lâm Đồng xác nhận trao giấy chứng nhận năm 2025 nhưng chưa tìm được quyết định và ngày ký; hạng 3 sao cần đối chiếu lại khi có phụ lục chính thức.</x:v>
      </x:c>
    </x:row>
    <x:row r="46">
      <x:c r="A46" s="11" t="str">
        <x:v>OCOP-2025-DT-018</x:v>
      </x:c>
      <x:c r="B46" s="11" t="str">
        <x:v>Khoai Khoái sấy giòn vị phô mai cay</x:v>
      </x:c>
      <x:c r="C46" s="11" t="str">
        <x:v>Công ty Cổ phần Viên Sơn</x:v>
      </x:c>
      <x:c r="D46" s="11" t="str">
        <x:v>Thực phẩm</x:v>
      </x:c>
      <x:c r="E46" s="24" t="n">
        <x:v>3</x:v>
      </x:c>
      <x:c r="F46" s="24" t="n">
        <x:v>2025</x:v>
      </x:c>
      <x:c r="G46" s="11" t="str"/>
      <x:c r="H46" s="25" t="str"/>
      <x:c r="I46" s="25" t="str"/>
      <x:c r="J46" s="11" t="str">
        <x:v>UBND huyện Đức Trọng</x:v>
      </x:c>
      <x:c r="K46" s="11" t="str">
        <x:v>xã Liên Hiệp, huyện Đức Trọng, tỉnh Lâm Đồng</x:v>
      </x:c>
      <x:c r="L46" s="11" t="str">
        <x:v>xã Hiệp Thạnh, tỉnh Lâm Đồng</x:v>
      </x:c>
      <x:c r="M46" s="11" t="str">
        <x:v>Lâm Đồng cũ</x:v>
      </x:c>
      <x:c r="N46" s="11" t="str">
        <x:v>xã Hiệp Thạnh</x:v>
      </x:c>
      <x:c r="O46" s="11" t="str">
        <x:v>SRC-B1-DUCTRONG-2025</x:v>
      </x:c>
      <x:c r="P46" s="11" t="str">
        <x:v>B1</x:v>
      </x:c>
      <x:c r="Q46" s="11" t="str">
        <x:v>verified_government_news</x:v>
      </x:c>
      <x:c r="R46" s="26" t="b">
        <x:v>1</x:v>
      </x:c>
      <x:c r="S46" s="11" t="str">
        <x:v>Sản phẩm OCOP Khoai Khoái sấy giòn vị phô mai cay của Công ty Cổ phần Viên Sơn. Thông tin mô tả đang được hoàn thiện từ nguồn do chủ thể cung cấp.</x:v>
      </x:c>
      <x:c r="T46" s="11" t="str"/>
      <x:c r="U46" s="11" t="str">
        <x:v>placeholder_only</x:v>
      </x:c>
      <x:c r="V46" s="11" t="str">
        <x:v>Báo Lâm Đồng xác nhận trao giấy chứng nhận năm 2025 nhưng chưa tìm được quyết định và ngày ký; hạng 3 sao cần đối chiếu lại khi có phụ lục chính thức.</x:v>
      </x:c>
    </x:row>
    <x:row r="47">
      <x:c r="A47" s="11" t="str">
        <x:v>OCOP-2025-DT-019</x:v>
      </x:c>
      <x:c r="B47" s="11" t="str">
        <x:v>Khoai Khoái sấy giòn vị wasabi</x:v>
      </x:c>
      <x:c r="C47" s="11" t="str">
        <x:v>Công ty Cổ phần Viên Sơn</x:v>
      </x:c>
      <x:c r="D47" s="11" t="str">
        <x:v>Thực phẩm</x:v>
      </x:c>
      <x:c r="E47" s="24" t="n">
        <x:v>3</x:v>
      </x:c>
      <x:c r="F47" s="24" t="n">
        <x:v>2025</x:v>
      </x:c>
      <x:c r="G47" s="11" t="str"/>
      <x:c r="H47" s="25" t="str"/>
      <x:c r="I47" s="25" t="str"/>
      <x:c r="J47" s="11" t="str">
        <x:v>UBND huyện Đức Trọng</x:v>
      </x:c>
      <x:c r="K47" s="11" t="str">
        <x:v>xã Liên Hiệp, huyện Đức Trọng, tỉnh Lâm Đồng</x:v>
      </x:c>
      <x:c r="L47" s="11" t="str">
        <x:v>xã Hiệp Thạnh, tỉnh Lâm Đồng</x:v>
      </x:c>
      <x:c r="M47" s="11" t="str">
        <x:v>Lâm Đồng cũ</x:v>
      </x:c>
      <x:c r="N47" s="11" t="str">
        <x:v>xã Hiệp Thạnh</x:v>
      </x:c>
      <x:c r="O47" s="11" t="str">
        <x:v>SRC-B1-DUCTRONG-2025</x:v>
      </x:c>
      <x:c r="P47" s="11" t="str">
        <x:v>B1</x:v>
      </x:c>
      <x:c r="Q47" s="11" t="str">
        <x:v>verified_government_news</x:v>
      </x:c>
      <x:c r="R47" s="26" t="b">
        <x:v>1</x:v>
      </x:c>
      <x:c r="S47" s="11" t="str">
        <x:v>Sản phẩm OCOP Khoai Khoái sấy giòn vị wasabi của Công ty Cổ phần Viên Sơn. Thông tin mô tả đang được hoàn thiện từ nguồn do chủ thể cung cấp.</x:v>
      </x:c>
      <x:c r="T47" s="11" t="str"/>
      <x:c r="U47" s="11" t="str">
        <x:v>placeholder_only</x:v>
      </x:c>
      <x:c r="V47" s="11" t="str">
        <x:v>Báo Lâm Đồng xác nhận trao giấy chứng nhận năm 2025 nhưng chưa tìm được quyết định và ngày ký; hạng 3 sao cần đối chiếu lại khi có phụ lục chính thức.</x:v>
      </x:c>
    </x:row>
    <x:row r="48">
      <x:c r="A48" s="11" t="str">
        <x:v>OCOP-2025-DT-020</x:v>
      </x:c>
      <x:c r="B48" s="11" t="str">
        <x:v>Khoai Khoái sấy giòn vị tôm nướng</x:v>
      </x:c>
      <x:c r="C48" s="11" t="str">
        <x:v>Công ty Cổ phần Viên Sơn</x:v>
      </x:c>
      <x:c r="D48" s="11" t="str">
        <x:v>Thực phẩm</x:v>
      </x:c>
      <x:c r="E48" s="24" t="n">
        <x:v>3</x:v>
      </x:c>
      <x:c r="F48" s="24" t="n">
        <x:v>2025</x:v>
      </x:c>
      <x:c r="G48" s="11" t="str"/>
      <x:c r="H48" s="25" t="str"/>
      <x:c r="I48" s="25" t="str"/>
      <x:c r="J48" s="11" t="str">
        <x:v>UBND huyện Đức Trọng</x:v>
      </x:c>
      <x:c r="K48" s="11" t="str">
        <x:v>xã Liên Hiệp, huyện Đức Trọng, tỉnh Lâm Đồng</x:v>
      </x:c>
      <x:c r="L48" s="11" t="str">
        <x:v>xã Hiệp Thạnh, tỉnh Lâm Đồng</x:v>
      </x:c>
      <x:c r="M48" s="11" t="str">
        <x:v>Lâm Đồng cũ</x:v>
      </x:c>
      <x:c r="N48" s="11" t="str">
        <x:v>xã Hiệp Thạnh</x:v>
      </x:c>
      <x:c r="O48" s="11" t="str">
        <x:v>SRC-B1-DUCTRONG-2025</x:v>
      </x:c>
      <x:c r="P48" s="11" t="str">
        <x:v>B1</x:v>
      </x:c>
      <x:c r="Q48" s="11" t="str">
        <x:v>verified_government_news</x:v>
      </x:c>
      <x:c r="R48" s="26" t="b">
        <x:v>1</x:v>
      </x:c>
      <x:c r="S48" s="11" t="str">
        <x:v>Sản phẩm OCOP Khoai Khoái sấy giòn vị tôm nướng của Công ty Cổ phần Viên Sơn. Thông tin mô tả đang được hoàn thiện từ nguồn do chủ thể cung cấp.</x:v>
      </x:c>
      <x:c r="T48" s="11" t="str"/>
      <x:c r="U48" s="11" t="str">
        <x:v>placeholder_only</x:v>
      </x:c>
      <x:c r="V48" s="11" t="str">
        <x:v>Báo Lâm Đồng xác nhận trao giấy chứng nhận năm 2025 nhưng chưa tìm được quyết định và ngày ký; hạng 3 sao cần đối chiếu lại khi có phụ lục chính thức.</x:v>
      </x:c>
    </x:row>
    <x:row r="49">
      <x:c r="A49" s="11" t="str">
        <x:v>OCOP-2025-DT-021</x:v>
      </x:c>
      <x:c r="B49" s="11" t="str">
        <x:v>Cà phê Rin</x:v>
      </x:c>
      <x:c r="C49" s="11" t="str">
        <x:v>Hộ kinh doanh Bùi Anh Tuấn</x:v>
      </x:c>
      <x:c r="D49" s="11" t="str">
        <x:v>Đồ uống</x:v>
      </x:c>
      <x:c r="E49" s="24" t="n">
        <x:v>3</x:v>
      </x:c>
      <x:c r="F49" s="24" t="n">
        <x:v>2025</x:v>
      </x:c>
      <x:c r="G49" s="11" t="str"/>
      <x:c r="H49" s="25" t="str"/>
      <x:c r="I49" s="25" t="str"/>
      <x:c r="J49" s="11" t="str">
        <x:v>UBND huyện Đức Trọng</x:v>
      </x:c>
      <x:c r="K49" s="11" t="str">
        <x:v>xã Đà Loan, huyện Đức Trọng, tỉnh Lâm Đồng</x:v>
      </x:c>
      <x:c r="L49" s="11" t="str">
        <x:v>xã Tà Hine, tỉnh Lâm Đồng</x:v>
      </x:c>
      <x:c r="M49" s="11" t="str">
        <x:v>Lâm Đồng cũ</x:v>
      </x:c>
      <x:c r="N49" s="11" t="str">
        <x:v>xã Tà Hine</x:v>
      </x:c>
      <x:c r="O49" s="11" t="str">
        <x:v>SRC-B1-DUCTRONG-2025</x:v>
      </x:c>
      <x:c r="P49" s="11" t="str">
        <x:v>B1</x:v>
      </x:c>
      <x:c r="Q49" s="11" t="str">
        <x:v>verified_government_news</x:v>
      </x:c>
      <x:c r="R49" s="26" t="b">
        <x:v>1</x:v>
      </x:c>
      <x:c r="S49" s="11" t="str">
        <x:v>Sản phẩm OCOP Cà phê Rin của Hộ kinh doanh Bùi Anh Tuấn. Thông tin mô tả đang được hoàn thiện từ nguồn do chủ thể cung cấp.</x:v>
      </x:c>
      <x:c r="T49" s="11" t="str"/>
      <x:c r="U49" s="11" t="str">
        <x:v>placeholder_only</x:v>
      </x:c>
      <x:c r="V49" s="11" t="str">
        <x:v>Báo Lâm Đồng xác nhận trao giấy chứng nhận năm 2025 nhưng chưa tìm được quyết định và ngày ký; hạng 3 sao cần đối chiếu lại khi có phụ lục chính thức.</x:v>
      </x:c>
    </x:row>
    <x:row r="50">
      <x:c r="A50" s="11" t="str">
        <x:v>OCOP-2025-DT-022</x:v>
      </x:c>
      <x:c r="B50" s="11" t="str">
        <x:v>Rượu Tryvat 49</x:v>
      </x:c>
      <x:c r="C50" s="11" t="str">
        <x:v>Công ty TNHH Xuất nhập khẩu Thực phẩm Đà Lạt - Kho Bãi</x:v>
      </x:c>
      <x:c r="D50" s="11" t="str">
        <x:v>Đồ uống</x:v>
      </x:c>
      <x:c r="E50" s="24" t="n">
        <x:v>3</x:v>
      </x:c>
      <x:c r="F50" s="24" t="n">
        <x:v>2025</x:v>
      </x:c>
      <x:c r="G50" s="11" t="str"/>
      <x:c r="H50" s="25" t="str"/>
      <x:c r="I50" s="25" t="str"/>
      <x:c r="J50" s="11" t="str">
        <x:v>UBND huyện Đức Trọng</x:v>
      </x:c>
      <x:c r="K50" s="11" t="str">
        <x:v>xã Phú Hội, huyện Đức Trọng, tỉnh Lâm Đồng</x:v>
      </x:c>
      <x:c r="L50" s="11" t="str">
        <x:v>xã Đức Trọng, tỉnh Lâm Đồng</x:v>
      </x:c>
      <x:c r="M50" s="11" t="str">
        <x:v>Lâm Đồng cũ</x:v>
      </x:c>
      <x:c r="N50" s="11" t="str">
        <x:v>xã Đức Trọng</x:v>
      </x:c>
      <x:c r="O50" s="11" t="str">
        <x:v>SRC-B1-DUCTRONG-2025</x:v>
      </x:c>
      <x:c r="P50" s="11" t="str">
        <x:v>B1</x:v>
      </x:c>
      <x:c r="Q50" s="11" t="str">
        <x:v>verified_government_news</x:v>
      </x:c>
      <x:c r="R50" s="26" t="b">
        <x:v>1</x:v>
      </x:c>
      <x:c r="S50" s="11" t="str">
        <x:v>Sản phẩm OCOP Rượu Tryvat 49 của Công ty TNHH Xuất nhập khẩu Thực phẩm Đà Lạt - Kho Bãi. Thông tin mô tả đang được hoàn thiện từ nguồn do chủ thể cung cấp.</x:v>
      </x:c>
      <x:c r="T50" s="11" t="str"/>
      <x:c r="U50" s="11" t="str">
        <x:v>placeholder_only</x:v>
      </x:c>
      <x:c r="V50" s="11" t="str">
        <x:v>Báo Lâm Đồng xác nhận trao giấy chứng nhận năm 2025 nhưng chưa tìm được quyết định và ngày ký; hạng 3 sao cần đối chiếu lại khi có phụ lục chính thức.</x:v>
      </x:c>
    </x:row>
    <x:row r="51">
      <x:c r="A51" s="11" t="str">
        <x:v>OCOP-2025-TL-001</x:v>
      </x:c>
      <x:c r="B51" s="11" t="str">
        <x:v>Yến sào Minh Huyền</x:v>
      </x:c>
      <x:c r="C51" s="11" t="str">
        <x:v>Hộ kinh doanh Minh Huyền</x:v>
      </x:c>
      <x:c r="D51" s="11" t="str">
        <x:v>Thực phẩm</x:v>
      </x:c>
      <x:c r="E51" s="24" t="n">
        <x:v>3</x:v>
      </x:c>
      <x:c r="F51" s="24" t="n">
        <x:v>2024</x:v>
      </x:c>
      <x:c r="G51" s="11" t="str"/>
      <x:c r="H51" s="25" t="str"/>
      <x:c r="I51" s="25" t="str"/>
      <x:c r="J51" s="11" t="str">
        <x:v>UBND huyện Tánh Linh</x:v>
      </x:c>
      <x:c r="K51" s="11" t="str">
        <x:v>xã Gia Huynh, huyện Tánh Linh, tỉnh Bình Thuận</x:v>
      </x:c>
      <x:c r="L51" s="11" t="str">
        <x:v>xã Suối Kiết, tỉnh Lâm Đồng</x:v>
      </x:c>
      <x:c r="M51" s="11" t="str">
        <x:v>Bình Thuận cũ</x:v>
      </x:c>
      <x:c r="N51" s="11" t="str">
        <x:v>xã Suối Kiết</x:v>
      </x:c>
      <x:c r="O51" s="11" t="str">
        <x:v>SRC-B1-TANHLINH-2025</x:v>
      </x:c>
      <x:c r="P51" s="11" t="str">
        <x:v>B1</x:v>
      </x:c>
      <x:c r="Q51" s="11" t="str">
        <x:v>verified_government_news</x:v>
      </x:c>
      <x:c r="R51" s="26" t="b">
        <x:v>1</x:v>
      </x:c>
      <x:c r="S51" s="11" t="str">
        <x:v>Sản phẩm OCOP Yến sào Minh Huyền của Hộ kinh doanh Minh Huyền. Thông tin mô tả đang được hoàn thiện từ nguồn do chủ thể cung cấp.</x:v>
      </x:c>
      <x:c r="T51" s="11" t="str"/>
      <x:c r="U51" s="11" t="str">
        <x:v>placeholder_only</x:v>
      </x:c>
      <x:c r="V51" s="11" t="str">
        <x:v>Nguồn đăng năm 2025 về đợt công nhận cuối năm 2024; giữ cert_year 2024 để không biến ngày đăng thành năm cấp.</x:v>
      </x:c>
    </x:row>
    <x:row r="52">
      <x:c r="A52" s="11" t="str">
        <x:v>OCOP-2025-TL-002</x:v>
      </x:c>
      <x:c r="B52" s="11" t="str">
        <x:v>Gạo sạch Bắc Ruộng ST25</x:v>
      </x:c>
      <x:c r="C52" s="11" t="str">
        <x:v>Hợp tác xã Dịch vụ Nông nghiệp Bắc Ruộng 1</x:v>
      </x:c>
      <x:c r="D52" s="11" t="str">
        <x:v>Thực phẩm</x:v>
      </x:c>
      <x:c r="E52" s="24" t="n">
        <x:v>3</x:v>
      </x:c>
      <x:c r="F52" s="24" t="n">
        <x:v>2024</x:v>
      </x:c>
      <x:c r="G52" s="11" t="str"/>
      <x:c r="H52" s="25" t="str"/>
      <x:c r="I52" s="25" t="str"/>
      <x:c r="J52" s="11" t="str">
        <x:v>UBND huyện Tánh Linh</x:v>
      </x:c>
      <x:c r="K52" s="11" t="str">
        <x:v>xã Bắc Ruộng, huyện Tánh Linh, tỉnh Bình Thuận</x:v>
      </x:c>
      <x:c r="L52" s="11" t="str">
        <x:v>xã Bắc Ruộng, tỉnh Lâm Đồng</x:v>
      </x:c>
      <x:c r="M52" s="11" t="str">
        <x:v>Bình Thuận cũ</x:v>
      </x:c>
      <x:c r="N52" s="11" t="str">
        <x:v>xã Bắc Ruộng</x:v>
      </x:c>
      <x:c r="O52" s="11" t="str">
        <x:v>SRC-B1-TANHLINH-2025</x:v>
      </x:c>
      <x:c r="P52" s="11" t="str">
        <x:v>B1</x:v>
      </x:c>
      <x:c r="Q52" s="11" t="str">
        <x:v>verified_government_news</x:v>
      </x:c>
      <x:c r="R52" s="26" t="b">
        <x:v>1</x:v>
      </x:c>
      <x:c r="S52" s="11" t="str">
        <x:v>Sản phẩm OCOP Gạo sạch Bắc Ruộng ST25 của Hợp tác xã Dịch vụ Nông nghiệp Bắc Ruộng 1. Thông tin mô tả đang được hoàn thiện từ nguồn do chủ thể cung cấp.</x:v>
      </x:c>
      <x:c r="T52" s="11" t="str"/>
      <x:c r="U52" s="11" t="str">
        <x:v>placeholder_only</x:v>
      </x:c>
      <x:c r="V52" s="11" t="str">
        <x:v>Nguồn đăng năm 2025 về đợt công nhận cuối năm 2024; giữ cert_year 2024 để không biến ngày đăng thành năm cấp.</x:v>
      </x:c>
    </x:row>
    <x:row r="53">
      <x:c r="A53" s="11" t="str">
        <x:v>OCOP-2025-TL-003</x:v>
      </x:c>
      <x:c r="B53" s="11" t="str">
        <x:v>Ngũ cốc dinh dưỡng nhà làm Tuấn Diễm</x:v>
      </x:c>
      <x:c r="C53" s="11" t="str">
        <x:v>Hộ kinh doanh Tuấn Diễm</x:v>
      </x:c>
      <x:c r="D53" s="11" t="str">
        <x:v>Thực phẩm</x:v>
      </x:c>
      <x:c r="E53" s="24" t="n">
        <x:v>3</x:v>
      </x:c>
      <x:c r="F53" s="24" t="n">
        <x:v>2024</x:v>
      </x:c>
      <x:c r="G53" s="11" t="str"/>
      <x:c r="H53" s="25" t="str"/>
      <x:c r="I53" s="25" t="str"/>
      <x:c r="J53" s="11" t="str">
        <x:v>UBND huyện Tánh Linh</x:v>
      </x:c>
      <x:c r="K53" s="11" t="str">
        <x:v>xã Gia An, huyện Tánh Linh, tỉnh Bình Thuận</x:v>
      </x:c>
      <x:c r="L53" s="11" t="str">
        <x:v>xã Tánh Linh, tỉnh Lâm Đồng</x:v>
      </x:c>
      <x:c r="M53" s="11" t="str">
        <x:v>Bình Thuận cũ</x:v>
      </x:c>
      <x:c r="N53" s="11" t="str">
        <x:v>xã Tánh Linh</x:v>
      </x:c>
      <x:c r="O53" s="11" t="str">
        <x:v>SRC-B1-TANHLINH-2025</x:v>
      </x:c>
      <x:c r="P53" s="11" t="str">
        <x:v>B1</x:v>
      </x:c>
      <x:c r="Q53" s="11" t="str">
        <x:v>verified_government_news</x:v>
      </x:c>
      <x:c r="R53" s="26" t="b">
        <x:v>1</x:v>
      </x:c>
      <x:c r="S53" s="11" t="str">
        <x:v>Sản phẩm OCOP Ngũ cốc dinh dưỡng nhà làm Tuấn Diễm của Hộ kinh doanh Tuấn Diễm. Thông tin mô tả đang được hoàn thiện từ nguồn do chủ thể cung cấp.</x:v>
      </x:c>
      <x:c r="T53" s="11" t="str"/>
      <x:c r="U53" s="11" t="str">
        <x:v>placeholder_only</x:v>
      </x:c>
      <x:c r="V53" s="11" t="str">
        <x:v>Nguồn đăng năm 2025 về đợt công nhận cuối năm 2024; giữ cert_year 2024 để không biến ngày đăng thành năm cấp.</x:v>
      </x:c>
    </x:row>
    <x:row r="54">
      <x:c r="A54" s="11" t="str">
        <x:v>OCOP-2025-BT-001</x:v>
      </x:c>
      <x:c r="B54" s="11" t="str">
        <x:v>Nước mắm nguyên chất cá cơm 60 độ đạm Suchi</x:v>
      </x:c>
      <x:c r="C54" s="11" t="str">
        <x:v>Công ty Cổ phần Chế biến và Xuất khẩu Nước mắm Phan Thiết - Mũi Né</x:v>
      </x:c>
      <x:c r="D54" s="11" t="str">
        <x:v>Thực phẩm</x:v>
      </x:c>
      <x:c r="E54" s="24" t="n">
        <x:v>4</x:v>
      </x:c>
      <x:c r="F54" s="24" t="n">
        <x:v>2025</x:v>
      </x:c>
      <x:c r="G54" s="11" t="str"/>
      <x:c r="H54" s="25" t="str"/>
      <x:c r="I54" s="25" t="str"/>
      <x:c r="J54" s="11" t="str">
        <x:v>UBND tỉnh Bình Thuận</x:v>
      </x:c>
      <x:c r="K54" s="11" t="str">
        <x:v>Lô 47-48 Khu chế biến nước mắm, phường Phú Hài, thành phố Phan Thiết, tỉnh Bình Thuận</x:v>
      </x:c>
      <x:c r="L54" s="11" t="str">
        <x:v>Lô 47-48 Khu chế biến nước mắm, phường Phú Thủy, tỉnh Lâm Đồng</x:v>
      </x:c>
      <x:c r="M54" s="11" t="str">
        <x:v>Bình Thuận cũ</x:v>
      </x:c>
      <x:c r="N54" s="11" t="str">
        <x:v>phường Phú Thủy</x:v>
      </x:c>
      <x:c r="O54" s="11" t="str">
        <x:v>SRC-B1-BINHTHUAN-2025</x:v>
      </x:c>
      <x:c r="P54" s="11" t="str">
        <x:v>B1</x:v>
      </x:c>
      <x:c r="Q54" s="11" t="str">
        <x:v>verified_government_news_batch</x:v>
      </x:c>
      <x:c r="R54" s="26" t="b">
        <x:v>1</x:v>
      </x:c>
      <x:c r="S54" s="11" t="str">
        <x:v>Sản phẩm OCOP Nước mắm nguyên chất cá cơm 60 độ đạm Suchi của Công ty Cổ phần Chế biến và Xuất khẩu Nước mắm Phan Thiết - Mũi Né. Thông tin mô tả đang được hoàn thiện từ nguồn do chủ thể cung cấp.</x:v>
      </x:c>
      <x:c r="T54" s="11" t="str"/>
      <x:c r="U54" s="11" t="str">
        <x:v>placeholder_only</x:v>
      </x:c>
      <x:c r="V54" s="11" t="str">
        <x:v>Tên sản phẩm lấy từ bài đánh giá B2 ngày 10/06/2025; hạng 4 sao được đối chiếu bằng bài trao chứng nhận B1 ngày 26/06/2025. Chưa có phụ lục quyết định gốc.</x:v>
      </x:c>
    </x:row>
    <x:row r="55">
      <x:c r="A55" s="11" t="str">
        <x:v>OCOP-2025-BT-002</x:v>
      </x:c>
      <x:c r="B55" s="11" t="str">
        <x:v>Nước mắm cá cơm nguyên chất 40 độ đạm Suchi</x:v>
      </x:c>
      <x:c r="C55" s="11" t="str">
        <x:v>Công ty Cổ phần Chế biến và Xuất khẩu Nước mắm Phan Thiết - Mũi Né</x:v>
      </x:c>
      <x:c r="D55" s="11" t="str">
        <x:v>Thực phẩm</x:v>
      </x:c>
      <x:c r="E55" s="24" t="n">
        <x:v>4</x:v>
      </x:c>
      <x:c r="F55" s="24" t="n">
        <x:v>2025</x:v>
      </x:c>
      <x:c r="G55" s="11" t="str"/>
      <x:c r="H55" s="25" t="str"/>
      <x:c r="I55" s="25" t="str"/>
      <x:c r="J55" s="11" t="str">
        <x:v>UBND tỉnh Bình Thuận</x:v>
      </x:c>
      <x:c r="K55" s="11" t="str">
        <x:v>Lô 47-48 Khu chế biến nước mắm, phường Phú Hài, thành phố Phan Thiết, tỉnh Bình Thuận</x:v>
      </x:c>
      <x:c r="L55" s="11" t="str">
        <x:v>Lô 47-48 Khu chế biến nước mắm, phường Phú Thủy, tỉnh Lâm Đồng</x:v>
      </x:c>
      <x:c r="M55" s="11" t="str">
        <x:v>Bình Thuận cũ</x:v>
      </x:c>
      <x:c r="N55" s="11" t="str">
        <x:v>phường Phú Thủy</x:v>
      </x:c>
      <x:c r="O55" s="11" t="str">
        <x:v>SRC-B1-BINHTHUAN-2025</x:v>
      </x:c>
      <x:c r="P55" s="11" t="str">
        <x:v>B1</x:v>
      </x:c>
      <x:c r="Q55" s="11" t="str">
        <x:v>verified_government_news_batch</x:v>
      </x:c>
      <x:c r="R55" s="26" t="b">
        <x:v>1</x:v>
      </x:c>
      <x:c r="S55" s="11" t="str">
        <x:v>Sản phẩm OCOP Nước mắm cá cơm nguyên chất 40 độ đạm Suchi của Công ty Cổ phần Chế biến và Xuất khẩu Nước mắm Phan Thiết - Mũi Né. Thông tin mô tả đang được hoàn thiện từ nguồn do chủ thể cung cấp.</x:v>
      </x:c>
      <x:c r="T55" s="11" t="str"/>
      <x:c r="U55" s="11" t="str">
        <x:v>placeholder_only</x:v>
      </x:c>
      <x:c r="V55" s="11" t="str">
        <x:v>Tên sản phẩm lấy từ bài đánh giá B2 ngày 10/06/2025; hạng 4 sao được đối chiếu bằng bài trao chứng nhận B1 ngày 26/06/2025. Chưa có phụ lục quyết định gốc.</x:v>
      </x:c>
    </x:row>
    <x:row r="56">
      <x:c r="A56" s="11" t="str">
        <x:v>OCOP-2025-BT-003</x:v>
      </x:c>
      <x:c r="B56" s="11" t="str">
        <x:v>Rong nho</x:v>
      </x:c>
      <x:c r="C56" s="11" t="str">
        <x:v>Công ty TNHH Hải Nam Okinawa</x:v>
      </x:c>
      <x:c r="D56" s="11" t="str">
        <x:v>Thực phẩm</x:v>
      </x:c>
      <x:c r="E56" s="24" t="n">
        <x:v>4</x:v>
      </x:c>
      <x:c r="F56" s="24" t="n">
        <x:v>2025</x:v>
      </x:c>
      <x:c r="G56" s="11" t="str"/>
      <x:c r="H56" s="25" t="str"/>
      <x:c r="I56" s="25" t="str"/>
      <x:c r="J56" s="11" t="str">
        <x:v>UBND tỉnh Bình Thuận</x:v>
      </x:c>
      <x:c r="K56" s="11" t="str">
        <x:v>thành phố Phan Thiết, tỉnh Bình Thuận</x:v>
      </x:c>
      <x:c r="L56" s="11" t="str">
        <x:v>tỉnh Lâm Đồng</x:v>
      </x:c>
      <x:c r="M56" s="11" t="str">
        <x:v>Bình Thuận cũ</x:v>
      </x:c>
      <x:c r="N56" s="11" t="str"/>
      <x:c r="O56" s="11" t="str">
        <x:v>SRC-B1-BINHTHUAN-2025</x:v>
      </x:c>
      <x:c r="P56" s="11" t="str">
        <x:v>B1</x:v>
      </x:c>
      <x:c r="Q56" s="11" t="str">
        <x:v>verified_government_news_batch</x:v>
      </x:c>
      <x:c r="R56" s="26" t="b">
        <x:v>1</x:v>
      </x:c>
      <x:c r="S56" s="11" t="str">
        <x:v>Sản phẩm OCOP Rong nho của Công ty TNHH Hải Nam Okinawa. Thông tin mô tả đang được hoàn thiện từ nguồn do chủ thể cung cấp.</x:v>
      </x:c>
      <x:c r="T56" s="11" t="str"/>
      <x:c r="U56" s="11" t="str">
        <x:v>placeholder_only</x:v>
      </x:c>
      <x:c r="V56" s="11" t="str">
        <x:v>Tên sản phẩm lấy từ bài đánh giá B2 ngày 10/06/2025; hạng 4 sao được đối chiếu bằng bài trao chứng nhận B1 ngày 26/06/2025. Chưa có phụ lục quyết định gốc. Nguồn B1 chỉ nêu thành phố Phan Thiết; chưa xác định địa chỉ cấp xã trong hồ sơ công nhận.</x:v>
      </x:c>
    </x:row>
    <x:row r="57">
      <x:c r="A57" s="11" t="str">
        <x:v>OCOP-2025-BT-004</x:v>
      </x:c>
      <x:c r="B57" s="11" t="str">
        <x:v>Rong nho tách nước</x:v>
      </x:c>
      <x:c r="C57" s="11" t="str">
        <x:v>Công ty TNHH Hải Nam Okinawa</x:v>
      </x:c>
      <x:c r="D57" s="11" t="str">
        <x:v>Thực phẩm</x:v>
      </x:c>
      <x:c r="E57" s="24" t="n">
        <x:v>4</x:v>
      </x:c>
      <x:c r="F57" s="24" t="n">
        <x:v>2025</x:v>
      </x:c>
      <x:c r="G57" s="11" t="str"/>
      <x:c r="H57" s="25" t="str"/>
      <x:c r="I57" s="25" t="str"/>
      <x:c r="J57" s="11" t="str">
        <x:v>UBND tỉnh Bình Thuận</x:v>
      </x:c>
      <x:c r="K57" s="11" t="str">
        <x:v>thành phố Phan Thiết, tỉnh Bình Thuận</x:v>
      </x:c>
      <x:c r="L57" s="11" t="str">
        <x:v>tỉnh Lâm Đồng</x:v>
      </x:c>
      <x:c r="M57" s="11" t="str">
        <x:v>Bình Thuận cũ</x:v>
      </x:c>
      <x:c r="N57" s="11" t="str"/>
      <x:c r="O57" s="11" t="str">
        <x:v>SRC-B1-BINHTHUAN-2025</x:v>
      </x:c>
      <x:c r="P57" s="11" t="str">
        <x:v>B1</x:v>
      </x:c>
      <x:c r="Q57" s="11" t="str">
        <x:v>verified_government_news_batch</x:v>
      </x:c>
      <x:c r="R57" s="26" t="b">
        <x:v>1</x:v>
      </x:c>
      <x:c r="S57" s="11" t="str">
        <x:v>Sản phẩm OCOP Rong nho tách nước của Công ty TNHH Hải Nam Okinawa. Thông tin mô tả đang được hoàn thiện từ nguồn do chủ thể cung cấp.</x:v>
      </x:c>
      <x:c r="T57" s="11" t="str"/>
      <x:c r="U57" s="11" t="str">
        <x:v>placeholder_only</x:v>
      </x:c>
      <x:c r="V57" s="11" t="str">
        <x:v>Tên sản phẩm lấy từ bài đánh giá B2 ngày 10/06/2025; hạng 4 sao được đối chiếu bằng bài trao chứng nhận B1 ngày 26/06/2025. Chưa có phụ lục quyết định gốc. Nguồn B1 chỉ nêu thành phố Phan Thiết; chưa xác định địa chỉ cấp xã trong hồ sơ công nhận.</x:v>
      </x:c>
    </x:row>
    <x:row r="58">
      <x:c r="A58" s="11" t="str">
        <x:v>OCOP-2025-BT-005</x:v>
      </x:c>
      <x:c r="B58" s="11" t="str">
        <x:v>Nước mắm truyền thống Cá Đen</x:v>
      </x:c>
      <x:c r="C58" s="11" t="str">
        <x:v>Công ty TNHH Cá Đen</x:v>
      </x:c>
      <x:c r="D58" s="11" t="str">
        <x:v>Thực phẩm</x:v>
      </x:c>
      <x:c r="E58" s="24" t="n">
        <x:v>4</x:v>
      </x:c>
      <x:c r="F58" s="24" t="n">
        <x:v>2025</x:v>
      </x:c>
      <x:c r="G58" s="11" t="str"/>
      <x:c r="H58" s="25" t="str"/>
      <x:c r="I58" s="25" t="str"/>
      <x:c r="J58" s="11" t="str">
        <x:v>UBND tỉnh Bình Thuận</x:v>
      </x:c>
      <x:c r="K58" s="11" t="str">
        <x:v>208 Nguyễn Thông, phường Phú Hài, thành phố Phan Thiết, tỉnh Bình Thuận</x:v>
      </x:c>
      <x:c r="L58" s="11" t="str">
        <x:v>208 Nguyễn Thông, phường Phú Thủy, tỉnh Lâm Đồng</x:v>
      </x:c>
      <x:c r="M58" s="11" t="str">
        <x:v>Bình Thuận cũ</x:v>
      </x:c>
      <x:c r="N58" s="11" t="str">
        <x:v>phường Phú Thủy</x:v>
      </x:c>
      <x:c r="O58" s="11" t="str">
        <x:v>SRC-B1-BINHTHUAN-2025</x:v>
      </x:c>
      <x:c r="P58" s="11" t="str">
        <x:v>B1</x:v>
      </x:c>
      <x:c r="Q58" s="11" t="str">
        <x:v>verified_government_news_batch</x:v>
      </x:c>
      <x:c r="R58" s="26" t="b">
        <x:v>1</x:v>
      </x:c>
      <x:c r="S58" s="11" t="str">
        <x:v>Sản phẩm OCOP Nước mắm truyền thống Cá Đen của Công ty TNHH Cá Đen. Thông tin mô tả đang được hoàn thiện từ nguồn do chủ thể cung cấp.</x:v>
      </x:c>
      <x:c r="T58" s="11" t="str"/>
      <x:c r="U58" s="11" t="str">
        <x:v>placeholder_only</x:v>
      </x:c>
      <x:c r="V58" s="11" t="str">
        <x:v>Tên sản phẩm lấy từ bài đánh giá B2 ngày 10/06/2025; hạng 4 sao được đối chiếu bằng bài trao chứng nhận B1 ngày 26/06/2025. Chưa có phụ lục quyết định gốc.</x:v>
      </x:c>
    </x:row>
    <x:row r="59">
      <x:c r="A59" s="11" t="str">
        <x:v>OCOP-2025-BT-006</x:v>
      </x:c>
      <x:c r="B59" s="11" t="str">
        <x:v>Mắm nêm có gia vị Cá Đen</x:v>
      </x:c>
      <x:c r="C59" s="11" t="str">
        <x:v>Công ty TNHH Cá Đen</x:v>
      </x:c>
      <x:c r="D59" s="11" t="str">
        <x:v>Thực phẩm</x:v>
      </x:c>
      <x:c r="E59" s="24" t="n">
        <x:v>4</x:v>
      </x:c>
      <x:c r="F59" s="24" t="n">
        <x:v>2025</x:v>
      </x:c>
      <x:c r="G59" s="11" t="str"/>
      <x:c r="H59" s="25" t="str"/>
      <x:c r="I59" s="25" t="str"/>
      <x:c r="J59" s="11" t="str">
        <x:v>UBND tỉnh Bình Thuận</x:v>
      </x:c>
      <x:c r="K59" s="11" t="str">
        <x:v>208 Nguyễn Thông, phường Phú Hài, thành phố Phan Thiết, tỉnh Bình Thuận</x:v>
      </x:c>
      <x:c r="L59" s="11" t="str">
        <x:v>208 Nguyễn Thông, phường Phú Thủy, tỉnh Lâm Đồng</x:v>
      </x:c>
      <x:c r="M59" s="11" t="str">
        <x:v>Bình Thuận cũ</x:v>
      </x:c>
      <x:c r="N59" s="11" t="str">
        <x:v>phường Phú Thủy</x:v>
      </x:c>
      <x:c r="O59" s="11" t="str">
        <x:v>SRC-B1-BINHTHUAN-2025</x:v>
      </x:c>
      <x:c r="P59" s="11" t="str">
        <x:v>B1</x:v>
      </x:c>
      <x:c r="Q59" s="11" t="str">
        <x:v>verified_government_news_batch</x:v>
      </x:c>
      <x:c r="R59" s="26" t="b">
        <x:v>1</x:v>
      </x:c>
      <x:c r="S59" s="11" t="str">
        <x:v>Sản phẩm OCOP Mắm nêm có gia vị Cá Đen của Công ty TNHH Cá Đen. Thông tin mô tả đang được hoàn thiện từ nguồn do chủ thể cung cấp.</x:v>
      </x:c>
      <x:c r="T59" s="11" t="str"/>
      <x:c r="U59" s="11" t="str">
        <x:v>placeholder_only</x:v>
      </x:c>
      <x:c r="V59" s="11" t="str">
        <x:v>Tên sản phẩm lấy từ bài đánh giá B2 ngày 10/06/2025; hạng 4 sao được đối chiếu bằng bài trao chứng nhận B1 ngày 26/06/2025. Chưa có phụ lục quyết định gốc.</x:v>
      </x:c>
    </x:row>
    <x:row r="60">
      <x:c r="A60" s="11" t="str">
        <x:v>OCOP-2025-BT-007</x:v>
      </x:c>
      <x:c r="B60" s="11" t="str">
        <x:v>Nước mắm Mẫu Hoàng</x:v>
      </x:c>
      <x:c r="C60" s="11" t="str">
        <x:v>Công ty Cổ phần Nước mắm Phan Thiết</x:v>
      </x:c>
      <x:c r="D60" s="11" t="str">
        <x:v>Thực phẩm</x:v>
      </x:c>
      <x:c r="E60" s="24" t="n">
        <x:v>4</x:v>
      </x:c>
      <x:c r="F60" s="24" t="n">
        <x:v>2025</x:v>
      </x:c>
      <x:c r="G60" s="11" t="str"/>
      <x:c r="H60" s="25" t="str"/>
      <x:c r="I60" s="25" t="str"/>
      <x:c r="J60" s="11" t="str">
        <x:v>UBND tỉnh Bình Thuận</x:v>
      </x:c>
      <x:c r="K60" s="11" t="str">
        <x:v>65 Nguyễn Thông, phường Phú Hài, thành phố Phan Thiết, tỉnh Bình Thuận</x:v>
      </x:c>
      <x:c r="L60" s="11" t="str">
        <x:v>65 Nguyễn Thông, phường Phú Thủy, tỉnh Lâm Đồng</x:v>
      </x:c>
      <x:c r="M60" s="11" t="str">
        <x:v>Bình Thuận cũ</x:v>
      </x:c>
      <x:c r="N60" s="11" t="str">
        <x:v>phường Phú Thủy</x:v>
      </x:c>
      <x:c r="O60" s="11" t="str">
        <x:v>SRC-B1-BINHTHUAN-2025</x:v>
      </x:c>
      <x:c r="P60" s="11" t="str">
        <x:v>B1</x:v>
      </x:c>
      <x:c r="Q60" s="11" t="str">
        <x:v>verified_government_news_batch</x:v>
      </x:c>
      <x:c r="R60" s="26" t="b">
        <x:v>1</x:v>
      </x:c>
      <x:c r="S60" s="11" t="str">
        <x:v>Sản phẩm OCOP Nước mắm Mẫu Hoàng của Công ty Cổ phần Nước mắm Phan Thiết. Thông tin mô tả đang được hoàn thiện từ nguồn do chủ thể cung cấp.</x:v>
      </x:c>
      <x:c r="T60" s="11" t="str"/>
      <x:c r="U60" s="11" t="str">
        <x:v>placeholder_only</x:v>
      </x:c>
      <x:c r="V60" s="11" t="str">
        <x:v>Tên sản phẩm lấy từ bài đánh giá B2 ngày 10/06/2025; hạng 4 sao được đối chiếu bằng bài trao chứng nhận B1 ngày 26/06/2025. Chưa có phụ lục quyết định gốc.</x:v>
      </x:c>
    </x:row>
    <x:row r="61">
      <x:c r="A61" s="11" t="str">
        <x:v>OCOP-2025-BT-008</x:v>
      </x:c>
      <x:c r="B61" s="11" t="str">
        <x:v>Mắm xay có gia vị hiệu Con Cá Vàng</x:v>
      </x:c>
      <x:c r="C61" s="11" t="str">
        <x:v>Công ty Cổ phần Nước mắm Phan Thiết</x:v>
      </x:c>
      <x:c r="D61" s="11" t="str">
        <x:v>Thực phẩm</x:v>
      </x:c>
      <x:c r="E61" s="24" t="n">
        <x:v>4</x:v>
      </x:c>
      <x:c r="F61" s="24" t="n">
        <x:v>2025</x:v>
      </x:c>
      <x:c r="G61" s="11" t="str"/>
      <x:c r="H61" s="25" t="str"/>
      <x:c r="I61" s="25" t="str"/>
      <x:c r="J61" s="11" t="str">
        <x:v>UBND tỉnh Bình Thuận</x:v>
      </x:c>
      <x:c r="K61" s="11" t="str">
        <x:v>65 Nguyễn Thông, phường Phú Hài, thành phố Phan Thiết, tỉnh Bình Thuận</x:v>
      </x:c>
      <x:c r="L61" s="11" t="str">
        <x:v>65 Nguyễn Thông, phường Phú Thủy, tỉnh Lâm Đồng</x:v>
      </x:c>
      <x:c r="M61" s="11" t="str">
        <x:v>Bình Thuận cũ</x:v>
      </x:c>
      <x:c r="N61" s="11" t="str">
        <x:v>phường Phú Thủy</x:v>
      </x:c>
      <x:c r="O61" s="11" t="str">
        <x:v>SRC-B1-BINHTHUAN-2025</x:v>
      </x:c>
      <x:c r="P61" s="11" t="str">
        <x:v>B1</x:v>
      </x:c>
      <x:c r="Q61" s="11" t="str">
        <x:v>verified_government_news_batch</x:v>
      </x:c>
      <x:c r="R61" s="26" t="b">
        <x:v>1</x:v>
      </x:c>
      <x:c r="S61" s="11" t="str">
        <x:v>Sản phẩm OCOP Mắm xay có gia vị hiệu Con Cá Vàng của Công ty Cổ phần Nước mắm Phan Thiết. Thông tin mô tả đang được hoàn thiện từ nguồn do chủ thể cung cấp.</x:v>
      </x:c>
      <x:c r="T61" s="11" t="str"/>
      <x:c r="U61" s="11" t="str">
        <x:v>placeholder_only</x:v>
      </x:c>
      <x:c r="V61" s="11" t="str">
        <x:v>Tên sản phẩm lấy từ bài đánh giá B2 ngày 10/06/2025; hạng 4 sao được đối chiếu bằng bài trao chứng nhận B1 ngày 26/06/2025. Chưa có phụ lục quyết định gốc.</x:v>
      </x:c>
    </x:row>
    <x:row r="62">
      <x:c r="A62" s="11" t="str">
        <x:v>OCOP-2025-BT-009</x:v>
      </x:c>
      <x:c r="B62" s="11" t="str">
        <x:v>Nước mắm cá cơm nguyên chất 40 độ đạm Tứ Tuyệt</x:v>
      </x:c>
      <x:c r="C62" s="11" t="str">
        <x:v>Công ty Cổ phần Nước mắm Phan Thiết</x:v>
      </x:c>
      <x:c r="D62" s="11" t="str">
        <x:v>Thực phẩm</x:v>
      </x:c>
      <x:c r="E62" s="24" t="n">
        <x:v>4</x:v>
      </x:c>
      <x:c r="F62" s="24" t="n">
        <x:v>2025</x:v>
      </x:c>
      <x:c r="G62" s="11" t="str"/>
      <x:c r="H62" s="25" t="str"/>
      <x:c r="I62" s="25" t="str"/>
      <x:c r="J62" s="11" t="str">
        <x:v>UBND tỉnh Bình Thuận</x:v>
      </x:c>
      <x:c r="K62" s="11" t="str">
        <x:v>65 Nguyễn Thông, phường Phú Hài, thành phố Phan Thiết, tỉnh Bình Thuận</x:v>
      </x:c>
      <x:c r="L62" s="11" t="str">
        <x:v>65 Nguyễn Thông, phường Phú Thủy, tỉnh Lâm Đồng</x:v>
      </x:c>
      <x:c r="M62" s="11" t="str">
        <x:v>Bình Thuận cũ</x:v>
      </x:c>
      <x:c r="N62" s="11" t="str">
        <x:v>phường Phú Thủy</x:v>
      </x:c>
      <x:c r="O62" s="11" t="str">
        <x:v>SRC-B1-BINHTHUAN-2025</x:v>
      </x:c>
      <x:c r="P62" s="11" t="str">
        <x:v>B1</x:v>
      </x:c>
      <x:c r="Q62" s="11" t="str">
        <x:v>verified_government_news_batch</x:v>
      </x:c>
      <x:c r="R62" s="26" t="b">
        <x:v>1</x:v>
      </x:c>
      <x:c r="S62" s="11" t="str">
        <x:v>Sản phẩm OCOP Nước mắm cá cơm nguyên chất 40 độ đạm Tứ Tuyệt của Công ty Cổ phần Nước mắm Phan Thiết. Thông tin mô tả đang được hoàn thiện từ nguồn do chủ thể cung cấp.</x:v>
      </x:c>
      <x:c r="T62" s="11" t="str"/>
      <x:c r="U62" s="11" t="str">
        <x:v>placeholder_only</x:v>
      </x:c>
      <x:c r="V62" s="11" t="str">
        <x:v>Tên sản phẩm lấy từ bài đánh giá B2 ngày 10/06/2025; hạng 4 sao được đối chiếu bằng bài trao chứng nhận B1 ngày 26/06/2025. Chưa có phụ lục quyết định gốc.</x:v>
      </x:c>
    </x:row>
    <x:row r="63">
      <x:c r="A63" s="11" t="str">
        <x:v>OCOP-2025-BT-010</x:v>
      </x:c>
      <x:c r="B63" s="11" t="str">
        <x:v>Trứng gà nướng TAFA</x:v>
      </x:c>
      <x:c r="C63" s="11" t="str">
        <x:v>Công ty TNHH Chăn nuôi TAFA Việt</x:v>
      </x:c>
      <x:c r="D63" s="11" t="str">
        <x:v>Thực phẩm</x:v>
      </x:c>
      <x:c r="E63" s="24" t="n">
        <x:v>4</x:v>
      </x:c>
      <x:c r="F63" s="24" t="n">
        <x:v>2025</x:v>
      </x:c>
      <x:c r="G63" s="11" t="str"/>
      <x:c r="H63" s="25" t="str"/>
      <x:c r="I63" s="25" t="str"/>
      <x:c r="J63" s="11" t="str">
        <x:v>UBND tỉnh Bình Thuận</x:v>
      </x:c>
      <x:c r="K63" s="11" t="str">
        <x:v>xã Trà Tân, huyện Đức Linh, tỉnh Bình Thuận</x:v>
      </x:c>
      <x:c r="L63" s="11" t="str">
        <x:v>xã Trà Tân, tỉnh Lâm Đồng</x:v>
      </x:c>
      <x:c r="M63" s="11" t="str">
        <x:v>Bình Thuận cũ</x:v>
      </x:c>
      <x:c r="N63" s="11" t="str">
        <x:v>xã Trà Tân</x:v>
      </x:c>
      <x:c r="O63" s="11" t="str">
        <x:v>SRC-B1-BINHTHUAN-2025</x:v>
      </x:c>
      <x:c r="P63" s="11" t="str">
        <x:v>B1</x:v>
      </x:c>
      <x:c r="Q63" s="11" t="str">
        <x:v>verified_government_news_batch</x:v>
      </x:c>
      <x:c r="R63" s="26" t="b">
        <x:v>1</x:v>
      </x:c>
      <x:c r="S63" s="11" t="str">
        <x:v>Sản phẩm OCOP Trứng gà nướng TAFA của Công ty TNHH Chăn nuôi TAFA Việt. Thông tin mô tả đang được hoàn thiện từ nguồn do chủ thể cung cấp.</x:v>
      </x:c>
      <x:c r="T63" s="11" t="str"/>
      <x:c r="U63" s="11" t="str">
        <x:v>placeholder_only</x:v>
      </x:c>
      <x:c r="V63" s="11" t="str">
        <x:v>Tên sản phẩm lấy từ bài đánh giá B2 ngày 10/06/2025; hạng 4 sao được đối chiếu bằng bài trao chứng nhận B1 ngày 26/06/2025. Chưa có phụ lục quyết định gốc.</x:v>
      </x:c>
    </x:row>
    <x:row r="64">
      <x:c r="A64" s="11" t="str">
        <x:v>OCOP-2025-BT-011</x:v>
      </x:c>
      <x:c r="B64" s="11" t="str">
        <x:v>Trứng gà tươi TAFA</x:v>
      </x:c>
      <x:c r="C64" s="11" t="str">
        <x:v>Công ty TNHH Chăn nuôi TAFA Việt</x:v>
      </x:c>
      <x:c r="D64" s="11" t="str">
        <x:v>Thực phẩm</x:v>
      </x:c>
      <x:c r="E64" s="24" t="n">
        <x:v>4</x:v>
      </x:c>
      <x:c r="F64" s="24" t="n">
        <x:v>2025</x:v>
      </x:c>
      <x:c r="G64" s="11" t="str"/>
      <x:c r="H64" s="25" t="str"/>
      <x:c r="I64" s="25" t="str"/>
      <x:c r="J64" s="11" t="str">
        <x:v>UBND tỉnh Bình Thuận</x:v>
      </x:c>
      <x:c r="K64" s="11" t="str">
        <x:v>xã Trà Tân, huyện Đức Linh, tỉnh Bình Thuận</x:v>
      </x:c>
      <x:c r="L64" s="11" t="str">
        <x:v>xã Trà Tân, tỉnh Lâm Đồng</x:v>
      </x:c>
      <x:c r="M64" s="11" t="str">
        <x:v>Bình Thuận cũ</x:v>
      </x:c>
      <x:c r="N64" s="11" t="str">
        <x:v>xã Trà Tân</x:v>
      </x:c>
      <x:c r="O64" s="11" t="str">
        <x:v>SRC-B1-BINHTHUAN-2025</x:v>
      </x:c>
      <x:c r="P64" s="11" t="str">
        <x:v>B1</x:v>
      </x:c>
      <x:c r="Q64" s="11" t="str">
        <x:v>verified_government_news_batch</x:v>
      </x:c>
      <x:c r="R64" s="26" t="b">
        <x:v>1</x:v>
      </x:c>
      <x:c r="S64" s="11" t="str">
        <x:v>Sản phẩm OCOP Trứng gà tươi TAFA của Công ty TNHH Chăn nuôi TAFA Việt. Thông tin mô tả đang được hoàn thiện từ nguồn do chủ thể cung cấp.</x:v>
      </x:c>
      <x:c r="T64" s="11" t="str"/>
      <x:c r="U64" s="11" t="str">
        <x:v>placeholder_only</x:v>
      </x:c>
      <x:c r="V64" s="11" t="str">
        <x:v>Tên sản phẩm lấy từ bài đánh giá B2 ngày 10/06/2025; hạng 4 sao được đối chiếu bằng bài trao chứng nhận B1 ngày 26/06/2025. Chưa có phụ lục quyết định gốc.</x:v>
      </x:c>
    </x:row>
  </x:sheetData>
  <x:mergeCells>
    <x:mergeCell ref="A1:V1"/>
    <x:mergeCell ref="A2:V2"/>
  </x:mergeCells>
  <x:pageMargins left="0.7" right="0.7" top="0.75" bottom="0.75" header="0.3" footer="0.3"/>
  <x:tableParts count="1">
    <x:tablePart xmlns:r="http://schemas.openxmlformats.org/officeDocument/2006/relationships" r:id="Rd7b4457ce9ca40de"/>
  </x:tableParts>
</x:worksheet>
</file>

<file path=xl/worksheets/sheet3.xml><?xml version="1.0" encoding="utf-8"?>
<x:worksheet xmlns:x="http://schemas.openxmlformats.org/spreadsheetml/2006/main">
  <x:sheetPr>
    <x:tabColor rgb="FF0084D1"/>
  </x:sheetPr>
  <x:sheetViews>
    <x:sheetView showGridLines="0" workbookViewId="0">
      <x:pane xSplit="1" ySplit="4" topLeftCell="B5" activePane="bottomRight" state="frozen"/>
    </x:sheetView>
  </x:sheetViews>
  <x:sheetFormatPr defaultRowHeight="15"/>
  <x:cols>
    <x:col min="1" max="1" width="18" hidden="0" customWidth="1"/>
    <x:col min="2" max="2" width="46" hidden="0" customWidth="1"/>
    <x:col min="3" max="3" width="18" hidden="0" customWidth="1"/>
    <x:col min="4" max="4" width="28" hidden="0" customWidth="1"/>
    <x:col min="5" max="5" width="18" hidden="0" customWidth="1"/>
    <x:col min="6" max="6" width="18" hidden="0" customWidth="1"/>
    <x:col min="7" max="7" width="60" hidden="0" customWidth="1"/>
    <x:col min="8" max="8" width="40" hidden="0" customWidth="1"/>
    <x:col min="9" max="9" width="18" hidden="0" customWidth="1"/>
    <x:col min="10" max="10" width="42" hidden="0" customWidth="1"/>
    <x:col min="11" max="11" width="18" hidden="0" customWidth="1"/>
  </x:cols>
  <x:sheetData>
    <x:row r="1" ht="34" customHeight="1">
      <x:c r="A1" s="3" t="str">
        <x:v>DANH MỤC NGUỒN</x:v>
      </x:c>
      <x:c r="B1" s="3"/>
      <x:c r="C1" s="3"/>
      <x:c r="D1" s="3"/>
      <x:c r="E1" s="3"/>
      <x:c r="F1" s="3"/>
      <x:c r="G1" s="3"/>
      <x:c r="H1" s="3"/>
      <x:c r="I1" s="3"/>
      <x:c r="J1" s="3"/>
      <x:c r="K1" s="3"/>
    </x:row>
    <x:row r="2" ht="30" customHeight="1">
      <x:c r="A2" s="7" t="str">
        <x:v>17 nguồn; chỉ PDF hành chính quan trọng được lưu cục bộ trong repository.</x:v>
      </x:c>
      <x:c r="B2" s="7"/>
      <x:c r="C2" s="7"/>
      <x:c r="D2" s="7"/>
      <x:c r="E2" s="7"/>
      <x:c r="F2" s="7"/>
      <x:c r="G2" s="7"/>
      <x:c r="H2" s="7"/>
      <x:c r="I2" s="7"/>
      <x:c r="J2" s="7"/>
      <x:c r="K2" s="7"/>
    </x:row>
    <x:row r="4" ht="34" customHeight="1">
      <x:c r="A4" s="18" t="str">
        <x:v>source_id</x:v>
      </x:c>
      <x:c r="B4" s="18" t="str">
        <x:v>title</x:v>
      </x:c>
      <x:c r="C4" s="18" t="str">
        <x:v>document_number</x:v>
      </x:c>
      <x:c r="D4" s="18" t="str">
        <x:v>issuing_body</x:v>
      </x:c>
      <x:c r="E4" s="18" t="str">
        <x:v>published_at</x:v>
      </x:c>
      <x:c r="F4" s="18" t="str">
        <x:v>source_type</x:v>
      </x:c>
      <x:c r="G4" s="18" t="str">
        <x:v>source_url</x:v>
      </x:c>
      <x:c r="H4" s="18" t="str">
        <x:v>local_file</x:v>
      </x:c>
      <x:c r="I4" s="18" t="str">
        <x:v>retrieved_at</x:v>
      </x:c>
      <x:c r="J4" s="18" t="str">
        <x:v>sha256</x:v>
      </x:c>
      <x:c r="K4" s="18" t="str">
        <x:v>verification_level</x:v>
      </x:c>
    </x:row>
    <x:row r="5">
      <x:c r="A5" s="11" t="str">
        <x:v>SRC-A-202-2025</x:v>
      </x:c>
      <x:c r="B5" s="11" t="str">
        <x:v>Nghị quyết về sắp xếp đơn vị hành chính cấp tỉnh</x:v>
      </x:c>
      <x:c r="C5" s="11" t="str">
        <x:v>202/2025/QH15</x:v>
      </x:c>
      <x:c r="D5" s="11" t="str">
        <x:v>Quốc hội</x:v>
      </x:c>
      <x:c r="E5" s="25" t="n">
        <x:v>45820</x:v>
      </x:c>
      <x:c r="F5" s="11" t="str">
        <x:v>legal_document</x:v>
      </x:c>
      <x:c r="G5" s="11" t="str">
        <x:v>https://vanban.chinhphu.vn/?classid=1&amp;docid=213930&amp;pageid=27160</x:v>
      </x:c>
      <x:c r="H5" s="11" t="str">
        <x:v>docs/sources/ocop/2025/202-2025-QH15.pdf</x:v>
      </x:c>
      <x:c r="I5" s="25" t="n">
        <x:v>46275</x:v>
      </x:c>
      <x:c r="J5" s="11" t="str">
        <x:v>36e524d2e73f475800cfa1561c2bd5453ae137cde772a2045e5929a3cc0ef93c</x:v>
      </x:c>
      <x:c r="K5" s="11" t="str">
        <x:v>A</x:v>
      </x:c>
    </x:row>
    <x:row r="6">
      <x:c r="A6" s="11" t="str">
        <x:v>SRC-A-1671-2025</x:v>
      </x:c>
      <x:c r="B6" s="11" t="str">
        <x:v>Nghị quyết sắp xếp đơn vị hành chính cấp xã tỉnh Lâm Đồng</x:v>
      </x:c>
      <x:c r="C6" s="11" t="str">
        <x:v>1671/NQ-UBTVQH15</x:v>
      </x:c>
      <x:c r="D6" s="11" t="str">
        <x:v>Ủy ban Thường vụ Quốc hội</x:v>
      </x:c>
      <x:c r="E6" s="25" t="n">
        <x:v>45824</x:v>
      </x:c>
      <x:c r="F6" s="11" t="str">
        <x:v>legal_document</x:v>
      </x:c>
      <x:c r="G6" s="11" t="str">
        <x:v>https://xaydungchinhsach.chinhphu.vn/toan-van-nghi-quyet-so-1671-nq-ubtvqh15-sap-xep-cac-dvhc-cap-xa-cua-tinh-lam-dong-nam-2025-119250616201715664.htm</x:v>
      </x:c>
      <x:c r="H6" s="11" t="str">
        <x:v>docs/sources/ocop/2025/1671-NQ-UBTVQH15.pdf</x:v>
      </x:c>
      <x:c r="I6" s="25" t="n">
        <x:v>46275</x:v>
      </x:c>
      <x:c r="J6" s="11" t="str">
        <x:v>bf3e42390f9edf54d9f723f816787d12471c86c4a8ead416f62f545d60f1eabe</x:v>
      </x:c>
      <x:c r="K6" s="11" t="str">
        <x:v>A</x:v>
      </x:c>
    </x:row>
    <x:row r="7">
      <x:c r="A7" s="11" t="str">
        <x:v>SRC-A-1489-2025</x:v>
      </x:c>
      <x:c r="B7" s="11" t="str">
        <x:v>Quyết định sửa đổi Bộ tiêu chí và quy trình OCOP</x:v>
      </x:c>
      <x:c r="C7" s="11" t="str">
        <x:v>1489/QĐ-TTg</x:v>
      </x:c>
      <x:c r="D7" s="11" t="str">
        <x:v>Thủ tướng Chính phủ</x:v>
      </x:c>
      <x:c r="E7" s="25" t="n">
        <x:v>45844</x:v>
      </x:c>
      <x:c r="F7" s="11" t="str">
        <x:v>legal_document</x:v>
      </x:c>
      <x:c r="G7" s="11" t="str">
        <x:v>https://vanban.chinhphu.vn/?classid=2&amp;docid=214441&amp;pageid=27160</x:v>
      </x:c>
      <x:c r="H7" s="11" t="str">
        <x:v>docs/sources/ocop/2025/1489-QD-TTg.pdf</x:v>
      </x:c>
      <x:c r="I7" s="25" t="n">
        <x:v>46275</x:v>
      </x:c>
      <x:c r="J7" s="11" t="str">
        <x:v>c8feaadc85cece82579b90aaf7b5899920630f1546d08ddd3860c75cb388e4b7</x:v>
      </x:c>
      <x:c r="K7" s="11" t="str">
        <x:v>A</x:v>
      </x:c>
    </x:row>
    <x:row r="8">
      <x:c r="A8" s="11" t="str">
        <x:v>SRC-A-643-2025</x:v>
      </x:c>
      <x:c r="B8" s="11" t="str">
        <x:v>Quyết định kiện toàn Hội đồng OCOP tỉnh Lâm Đồng</x:v>
      </x:c>
      <x:c r="C8" s="11" t="str">
        <x:v>643/QĐ-UBND</x:v>
      </x:c>
      <x:c r="D8" s="11" t="str">
        <x:v>UBND tỉnh Lâm Đồng</x:v>
      </x:c>
      <x:c r="E8" s="25" t="n">
        <x:v>45873</x:v>
      </x:c>
      <x:c r="F8" s="11" t="str">
        <x:v>legal_document</x:v>
      </x:c>
      <x:c r="G8" s="11" t="str">
        <x:v>https://ocoplamdong.gov.vn/Media/admin/files/Q%C4%90%20643%20UBND.pdf</x:v>
      </x:c>
      <x:c r="H8" s="11" t="str">
        <x:v>docs/sources/ocop/2025/643-QD-UBND.pdf</x:v>
      </x:c>
      <x:c r="I8" s="25" t="n">
        <x:v>46275</x:v>
      </x:c>
      <x:c r="J8" s="11" t="str">
        <x:v>08cdfd094099587090a4cb7bc4c3cb4ca5abee88ac2a85d7962cd2861183fa8b</x:v>
      </x:c>
      <x:c r="K8" s="11" t="str">
        <x:v>A</x:v>
      </x:c>
    </x:row>
    <x:row r="9">
      <x:c r="A9" s="11" t="str">
        <x:v>SRC-A-1253-2025</x:v>
      </x:c>
      <x:c r="B9" s="11" t="str">
        <x:v>Quyết định ban hành Quy chế hoạt động Hội đồng OCOP tỉnh Lâm Đồng</x:v>
      </x:c>
      <x:c r="C9" s="11" t="str">
        <x:v>1253/QĐ-UBND</x:v>
      </x:c>
      <x:c r="D9" s="11" t="str">
        <x:v>UBND tỉnh Lâm Đồng</x:v>
      </x:c>
      <x:c r="E9" s="25" t="n">
        <x:v>45909</x:v>
      </x:c>
      <x:c r="F9" s="11" t="str">
        <x:v>legal_document</x:v>
      </x:c>
      <x:c r="G9" s="11" t="str">
        <x:v>https://ocoplamdong.gov.vn/Media/admin/files/QD%201253.pdf</x:v>
      </x:c>
      <x:c r="H9" s="11" t="str">
        <x:v>docs/sources/ocop/2025/1253-QD-UBND.pdf</x:v>
      </x:c>
      <x:c r="I9" s="25" t="n">
        <x:v>46275</x:v>
      </x:c>
      <x:c r="J9" s="11" t="str">
        <x:v>28b2807256cd84cef53189047a517b4706735437f45d3a281f59d7d7989458c1</x:v>
      </x:c>
      <x:c r="K9" s="11" t="str">
        <x:v>A</x:v>
      </x:c>
    </x:row>
    <x:row r="10">
      <x:c r="A10" s="11" t="str">
        <x:v>SRC-A-858-2025</x:v>
      </x:c>
      <x:c r="B10" s="11" t="str">
        <x:v>Quyết định công nhận 5 sản phẩm OCOP 4 sao tỉnh Đắk Nông</x:v>
      </x:c>
      <x:c r="C10" s="11" t="str">
        <x:v>858/QĐ-UBND</x:v>
      </x:c>
      <x:c r="D10" s="11" t="str">
        <x:v>UBND tỉnh Đắk Nông</x:v>
      </x:c>
      <x:c r="E10" s="25" t="n">
        <x:v>45827</x:v>
      </x:c>
      <x:c r="F10" s="11" t="str">
        <x:v>recognition_decision</x:v>
      </x:c>
      <x:c r="G10" s="11" t="str">
        <x:v>https://ocoplamdong.gov.vn/Media/admin/files/Q%C4%90%20c%C3%B4ng%20nh%E1%BA%ADn%204%20sao%202025.pdf</x:v>
      </x:c>
      <x:c r="H10" s="11" t="str">
        <x:v>docs/sources/ocop/2025/858-QD-UBND-Dak-Nong.pdf</x:v>
      </x:c>
      <x:c r="I10" s="25" t="n">
        <x:v>46275</x:v>
      </x:c>
      <x:c r="J10" s="11" t="str">
        <x:v>9c32e510460d14c329da26f034a6a952e01d8dff34399b033a44505f39f89b1e</x:v>
      </x:c>
      <x:c r="K10" s="11" t="str">
        <x:v>A</x:v>
      </x:c>
    </x:row>
    <x:row r="11">
      <x:c r="A11" s="11" t="str">
        <x:v>SRC-A-1887-2025</x:v>
      </x:c>
      <x:c r="B11" s="11" t="str">
        <x:v>Quyết định công nhận 8 sản phẩm OCOP 3 sao huyện Đắk Song</x:v>
      </x:c>
      <x:c r="C11" s="11" t="str">
        <x:v>1887/QĐ-UBND</x:v>
      </x:c>
      <x:c r="D11" s="11" t="str">
        <x:v>UBND huyện Đắk Song</x:v>
      </x:c>
      <x:c r="E11" s="25" t="n">
        <x:v>45824</x:v>
      </x:c>
      <x:c r="F11" s="11" t="str">
        <x:v>recognition_decision</x:v>
      </x:c>
      <x:c r="G11" s="11" t="str">
        <x:v>https://ocoplamdong.gov.vn/Media/admin/files/DakSong%202025.pdf</x:v>
      </x:c>
      <x:c r="H11" s="11" t="str">
        <x:v>docs/sources/ocop/2025/Dak-Song-OCOP-2025.pdf</x:v>
      </x:c>
      <x:c r="I11" s="25" t="n">
        <x:v>46275</x:v>
      </x:c>
      <x:c r="J11" s="11" t="str">
        <x:v>0edd9db0def8122f7e74547d54e0942dff3356ddbbe0d452d1125f513267807b</x:v>
      </x:c>
      <x:c r="K11" s="11" t="str">
        <x:v>A</x:v>
      </x:c>
    </x:row>
    <x:row r="12">
      <x:c r="A12" s="11" t="str">
        <x:v>SRC-A-768-2025</x:v>
      </x:c>
      <x:c r="B12" s="11" t="str">
        <x:v>Quyết định công nhận 2 sản phẩm OCOP 3 sao huyện Cư Jút</x:v>
      </x:c>
      <x:c r="C12" s="11" t="str">
        <x:v>768/QĐ-UBND</x:v>
      </x:c>
      <x:c r="D12" s="11" t="str">
        <x:v>UBND huyện Cư Jút</x:v>
      </x:c>
      <x:c r="E12" s="25" t="n">
        <x:v>45784</x:v>
      </x:c>
      <x:c r="F12" s="11" t="str">
        <x:v>recognition_decision</x:v>
      </x:c>
      <x:c r="G12" s="11" t="str">
        <x:v>https://ocoplamdong.gov.vn/Media/admin/files/Cu%20Jut.pdf</x:v>
      </x:c>
      <x:c r="H12" s="11" t="str">
        <x:v>docs/sources/ocop/2025/Cu-Jut-OCOP-2025.pdf</x:v>
      </x:c>
      <x:c r="I12" s="25" t="n">
        <x:v>46275</x:v>
      </x:c>
      <x:c r="J12" s="11" t="str">
        <x:v>d0823df7fdde9234d4f3bc9455f3828e3fdab48430619f690153a0a26ac6e87a</x:v>
      </x:c>
      <x:c r="K12" s="11" t="str">
        <x:v>A</x:v>
      </x:c>
    </x:row>
    <x:row r="13">
      <x:c r="A13" s="11" t="str">
        <x:v>SRC-B1-DUCTRONG-2025</x:v>
      </x:c>
      <x:c r="B13" s="11" t="str">
        <x:v>Đức Trọng trao giấy chứng nhận 22 sản phẩm OCOP</x:v>
      </x:c>
      <x:c r="C13" s="11" t="str"/>
      <x:c r="D13" s="11" t="str">
        <x:v>Báo Lâm Đồng</x:v>
      </x:c>
      <x:c r="E13" s="25" t="n">
        <x:v>45835</x:v>
      </x:c>
      <x:c r="F13" s="11" t="str">
        <x:v>government_news</x:v>
      </x:c>
      <x:c r="G13" s="11" t="str">
        <x:v>https://baolamdong.vn/duc-trong-trao-giay-chung-nhan-22-san-pham-ocop-277131.html</x:v>
      </x:c>
      <x:c r="H13" s="11" t="str"/>
      <x:c r="I13" s="25" t="n">
        <x:v>46275</x:v>
      </x:c>
      <x:c r="J13" s="11" t="str"/>
      <x:c r="K13" s="11" t="str">
        <x:v>B1</x:v>
      </x:c>
    </x:row>
    <x:row r="14">
      <x:c r="A14" s="11" t="str">
        <x:v>SRC-B2-BINHTHUAN-2025</x:v>
      </x:c>
      <x:c r="B14" s="11" t="str">
        <x:v>21 sản phẩm đề xuất đánh giá OCOP 4 sao cấp tỉnh</x:v>
      </x:c>
      <x:c r="C14" s="11" t="str"/>
      <x:c r="D14" s="11" t="str">
        <x:v>Báo Lâm Đồng</x:v>
      </x:c>
      <x:c r="E14" s="25" t="n">
        <x:v>45818</x:v>
      </x:c>
      <x:c r="F14" s="11" t="str">
        <x:v>government_news</x:v>
      </x:c>
      <x:c r="G14" s="11" t="str">
        <x:v>https://baolamdong.vn/21-san-pham-de-xuat-danh-gia-ocop-4-sao-cap-tinh-280461.html</x:v>
      </x:c>
      <x:c r="H14" s="11" t="str"/>
      <x:c r="I14" s="25" t="n">
        <x:v>46275</x:v>
      </x:c>
      <x:c r="J14" s="11" t="str"/>
      <x:c r="K14" s="11" t="str">
        <x:v>B2</x:v>
      </x:c>
    </x:row>
    <x:row r="15">
      <x:c r="A15" s="11" t="str">
        <x:v>SRC-B1-BINHTHUAN-2025</x:v>
      </x:c>
      <x:c r="B15" s="11" t="str">
        <x:v>Trao giấy chứng nhận sản phẩm OCOP 4 sao cho 21 sản phẩm</x:v>
      </x:c>
      <x:c r="C15" s="11" t="str"/>
      <x:c r="D15" s="11" t="str">
        <x:v>Báo Lâm Đồng</x:v>
      </x:c>
      <x:c r="E15" s="25" t="n">
        <x:v>45834</x:v>
      </x:c>
      <x:c r="F15" s="11" t="str">
        <x:v>government_news</x:v>
      </x:c>
      <x:c r="G15" s="11" t="str">
        <x:v>https://baolamdong.vn/trao-giay-chung-nhan-san-pham-ocop-4-sao-cho-21-san-pham-280929.html</x:v>
      </x:c>
      <x:c r="H15" s="11" t="str"/>
      <x:c r="I15" s="25" t="n">
        <x:v>46275</x:v>
      </x:c>
      <x:c r="J15" s="11" t="str"/>
      <x:c r="K15" s="11" t="str">
        <x:v>B1</x:v>
      </x:c>
    </x:row>
    <x:row r="16">
      <x:c r="A16" s="11" t="str">
        <x:v>SRC-B1-TANHLINH-2025</x:v>
      </x:c>
      <x:c r="B16" s="11" t="str">
        <x:v>Tánh Linh công nhận thêm 3 sản phẩm OCOP 3 sao</x:v>
      </x:c>
      <x:c r="C16" s="11" t="str"/>
      <x:c r="D16" s="11" t="str">
        <x:v>Báo Lâm Đồng</x:v>
      </x:c>
      <x:c r="E16" s="25" t="n">
        <x:v>45673</x:v>
      </x:c>
      <x:c r="F16" s="11" t="str">
        <x:v>government_news</x:v>
      </x:c>
      <x:c r="G16" s="11" t="str">
        <x:v>https://baolamdong.vn/bbt/tanh-linh-cong-nhan-them-3-san-pham-ocop-3-sao-130891.html</x:v>
      </x:c>
      <x:c r="H16" s="11" t="str"/>
      <x:c r="I16" s="25" t="n">
        <x:v>46275</x:v>
      </x:c>
      <x:c r="J16" s="11" t="str"/>
      <x:c r="K16" s="11" t="str">
        <x:v>B1</x:v>
      </x:c>
    </x:row>
    <x:row r="17">
      <x:c r="A17" s="11" t="str">
        <x:v>SRC-A-26-2026</x:v>
      </x:c>
      <x:c r="B17" s="11" t="str">
        <x:v>Quyết định ban hành Bộ tiêu chí và quy trình OCOP</x:v>
      </x:c>
      <x:c r="C17" s="11" t="str">
        <x:v>26/2026/QĐ-TTg</x:v>
      </x:c>
      <x:c r="D17" s="11" t="str">
        <x:v>Thủ tướng Chính phủ</x:v>
      </x:c>
      <x:c r="E17" s="25" t="n">
        <x:v>46164</x:v>
      </x:c>
      <x:c r="F17" s="11" t="str">
        <x:v>legal_document</x:v>
      </x:c>
      <x:c r="G17" s="11" t="str">
        <x:v>https://vanban.chinhphu.vn/?classid=1&amp;docid=218267&amp;orggroupid=3&amp;pageid=27160</x:v>
      </x:c>
      <x:c r="H17" s="11" t="str">
        <x:v>docs/sources/ocop/2026/26-2026-QD-TTg.pdf</x:v>
      </x:c>
      <x:c r="I17" s="25" t="n">
        <x:v>46275</x:v>
      </x:c>
      <x:c r="J17" s="11" t="str">
        <x:v>1916672a65212ad2591e2cc91718c626717c4f81b81457743da4374a72dfdd7a</x:v>
      </x:c>
      <x:c r="K17" s="11" t="str">
        <x:v>A</x:v>
      </x:c>
    </x:row>
    <x:row r="18">
      <x:c r="A18" s="11" t="str">
        <x:v>SRC-A-3981-2026</x:v>
      </x:c>
      <x:c r="B18" s="11" t="str">
        <x:v>Quyết định công nhận 9 sản phẩm OCOP 3 sao tỉnh Lâm Đồng đợt 1 năm 2026</x:v>
      </x:c>
      <x:c r="C18" s="11" t="str">
        <x:v>3981/QĐ-UBND</x:v>
      </x:c>
      <x:c r="D18" s="11" t="str">
        <x:v>UBND tỉnh Lâm Đồng</x:v>
      </x:c>
      <x:c r="E18" s="25" t="n">
        <x:v>46239</x:v>
      </x:c>
      <x:c r="F18" s="11" t="str">
        <x:v>recognition_decision</x:v>
      </x:c>
      <x:c r="G18" s="11" t="str">
        <x:v>https://ocoplamdong.gov.vn/Media/admin/files/225%20Quye%CC%82%CC%81t%20%C4%91i%CC%A3nh%20Q%C4%90%20cu%CC%89a%20UBND%20ti%CC%89nh_signed%281%29.pdf</x:v>
      </x:c>
      <x:c r="H18" s="11" t="str">
        <x:v>docs/sources/ocop/2026/3981-QD-UBND.pdf</x:v>
      </x:c>
      <x:c r="I18" s="25" t="n">
        <x:v>46275</x:v>
      </x:c>
      <x:c r="J18" s="11" t="str">
        <x:v>ffd4ec3475c25d404e53dc431789560fd3d5536f3efe9228d34bfa6f377c5a3c</x:v>
      </x:c>
      <x:c r="K18" s="11" t="str">
        <x:v>A</x:v>
      </x:c>
    </x:row>
    <x:row r="19">
      <x:c r="A19" s="11" t="str">
        <x:v>SRC-B1-STATS-2025</x:v>
      </x:c>
      <x:c r="B19" s="11" t="str">
        <x:v>Lâm Đồng phân hạng sản phẩm OCOP cấp tỉnh đợt 2 năm 2025</x:v>
      </x:c>
      <x:c r="C19" s="11" t="str"/>
      <x:c r="D19" s="11" t="str">
        <x:v>Báo Lâm Đồng</x:v>
      </x:c>
      <x:c r="E19" s="25" t="n">
        <x:v>46020</x:v>
      </x:c>
      <x:c r="F19" s="11" t="str">
        <x:v>government_news</x:v>
      </x:c>
      <x:c r="G19" s="11" t="str">
        <x:v>https://baolamdong.vn/lam-dong-phan-hang-san-pham-ocop-cap-tinh-dot-2-nam-2025-414467.html</x:v>
      </x:c>
      <x:c r="H19" s="11" t="str"/>
      <x:c r="I19" s="25" t="n">
        <x:v>46275</x:v>
      </x:c>
      <x:c r="J19" s="11" t="str"/>
      <x:c r="K19" s="11" t="str">
        <x:v>B1</x:v>
      </x:c>
    </x:row>
    <x:row r="20">
      <x:c r="A20" s="11" t="str">
        <x:v>SRC-B1-STATS-2026</x:v>
      </x:c>
      <x:c r="B20" s="11" t="str">
        <x:v>Chi cục Phát triển nông thôn triển khai chuỗi lớp tập huấn OCOP năm 2026</x:v>
      </x:c>
      <x:c r="C20" s="11" t="str"/>
      <x:c r="D20" s="11" t="str">
        <x:v>Cổng thông tin OCOP Lâm Đồng</x:v>
      </x:c>
      <x:c r="E20" s="25" t="n">
        <x:v>46162</x:v>
      </x:c>
      <x:c r="F20" s="11" t="str">
        <x:v>government_portal</x:v>
      </x:c>
      <x:c r="G20" s="11" t="str">
        <x:v>https://ocoplamdong.gov.vn/tin-tuc/chi-cuc-phat-trien-nong-thon-trien-khai-chuoi-lop-tap-huan-chuong-trinh-ocop-nam-2026-7193.html</x:v>
      </x:c>
      <x:c r="H20" s="11" t="str"/>
      <x:c r="I20" s="25" t="n">
        <x:v>46275</x:v>
      </x:c>
      <x:c r="J20" s="11" t="str"/>
      <x:c r="K20" s="11" t="str">
        <x:v>B1</x:v>
      </x:c>
    </x:row>
    <x:row r="21">
      <x:c r="A21" s="11" t="str">
        <x:v>SRC-B1-STATS-2026-LATEST</x:v>
      </x:c>
      <x:c r="B21" s="11" t="str">
        <x:v>Lâm Đồng nâng tầm nông sản đặc trưng qua đánh giá phân hạng sản phẩm OCOP</x:v>
      </x:c>
      <x:c r="C21" s="11" t="str"/>
      <x:c r="D21" s="11" t="str">
        <x:v>Tạp chí Khoa học và Công nghệ Việt Nam</x:v>
      </x:c>
      <x:c r="E21" s="25" t="n">
        <x:v>46227</x:v>
      </x:c>
      <x:c r="F21" s="11" t="str">
        <x:v>government_news</x:v>
      </x:c>
      <x:c r="G21" s="11" t="str">
        <x:v>https://vjst.vn/lam-dong-nang-tam-nong-san-dac-trung-thong-qua-danh-gia-phan-hang-san-pham-ocop-87338.html</x:v>
      </x:c>
      <x:c r="H21" s="11" t="str"/>
      <x:c r="I21" s="25" t="n">
        <x:v>46275</x:v>
      </x:c>
      <x:c r="J21" s="11" t="str"/>
      <x:c r="K21" s="11" t="str">
        <x:v>B1</x:v>
      </x:c>
    </x:row>
  </x:sheetData>
  <x:mergeCells>
    <x:mergeCell ref="A1:K1"/>
    <x:mergeCell ref="A2:K2"/>
  </x:mergeCells>
  <x:pageMargins left="0.7" right="0.7" top="0.75" bottom="0.75" header="0.3" footer="0.3"/>
  <x:tableParts count="1">
    <x:tablePart xmlns:r="http://schemas.openxmlformats.org/officeDocument/2006/relationships" r:id="R529816f75c5a4c19"/>
  </x:tableParts>
</x:worksheet>
</file>

<file path=xl/worksheets/sheet4.xml><?xml version="1.0" encoding="utf-8"?>
<x:worksheet xmlns:x="http://schemas.openxmlformats.org/spreadsheetml/2006/main">
  <x:sheetPr>
    <x:tabColor rgb="FFFFB900"/>
  </x:sheetPr>
  <x:sheetViews>
    <x:sheetView showGridLines="0" workbookViewId="0">
      <x:pane ySplit="4" topLeftCell="A5" activePane="bottomLeft" state="frozen"/>
    </x:sheetView>
  </x:sheetViews>
  <x:sheetFormatPr defaultRowHeight="15"/>
  <x:cols>
    <x:col min="1" max="1" width="24" hidden="0" customWidth="1"/>
    <x:col min="2" max="2" width="24" hidden="0" customWidth="1"/>
    <x:col min="3" max="3" width="30" hidden="0" customWidth="1"/>
    <x:col min="4" max="4" width="24" hidden="0" customWidth="1"/>
    <x:col min="5" max="5" width="32" hidden="0" customWidth="1"/>
    <x:col min="6" max="6" width="24" hidden="0" customWidth="1"/>
    <x:col min="7" max="7" width="24" hidden="0" customWidth="1"/>
  </x:cols>
  <x:sheetData>
    <x:row r="1" ht="34" customHeight="1">
      <x:c r="A1" s="3" t="str">
        <x:v>ÁNH XẠ ĐƠN VỊ HÀNH CHÍNH</x:v>
      </x:c>
      <x:c r="B1" s="3"/>
      <x:c r="C1" s="3"/>
      <x:c r="D1" s="3"/>
      <x:c r="E1" s="3"/>
      <x:c r="F1" s="3"/>
      <x:c r="G1" s="3"/>
    </x:row>
    <x:row r="2" ht="30" customHeight="1">
      <x:c r="A2" s="7" t="str">
        <x:v>Địa chỉ gốc được giữ nguyên; địa chỉ hiện hành chỉ dùng khi đã đối chiếu Nghị quyết 1671/NQ-UBTVQH15.</x:v>
      </x:c>
      <x:c r="B2" s="7"/>
      <x:c r="C2" s="7"/>
      <x:c r="D2" s="7"/>
      <x:c r="E2" s="7"/>
      <x:c r="F2" s="7"/>
      <x:c r="G2" s="7"/>
    </x:row>
    <x:row r="4" ht="34" customHeight="1">
      <x:c r="A4" s="18" t="str">
        <x:v>old_province</x:v>
      </x:c>
      <x:c r="B4" s="18" t="str">
        <x:v>old_district</x:v>
      </x:c>
      <x:c r="C4" s="18" t="str">
        <x:v>old_commune</x:v>
      </x:c>
      <x:c r="D4" s="18" t="str">
        <x:v>current_province</x:v>
      </x:c>
      <x:c r="E4" s="18" t="str">
        <x:v>current_commune</x:v>
      </x:c>
      <x:c r="F4" s="18" t="str">
        <x:v>legal_source</x:v>
      </x:c>
      <x:c r="G4" s="18" t="str">
        <x:v>verified_at</x:v>
      </x:c>
    </x:row>
    <x:row r="5">
      <x:c r="A5" s="11" t="str">
        <x:v>Lâm Đồng</x:v>
      </x:c>
      <x:c r="B5" s="11" t="str">
        <x:v>Đức Trọng</x:v>
      </x:c>
      <x:c r="C5" s="11" t="str">
        <x:v>thị trấn Liên Nghĩa</x:v>
      </x:c>
      <x:c r="D5" s="11" t="str">
        <x:v>Lâm Đồng</x:v>
      </x:c>
      <x:c r="E5" s="11" t="str">
        <x:v>xã Đức Trọng</x:v>
      </x:c>
      <x:c r="F5" s="11" t="str">
        <x:v>SRC-A-1671-2025</x:v>
      </x:c>
      <x:c r="G5" s="25" t="n">
        <x:v>46275</x:v>
      </x:c>
    </x:row>
    <x:row r="6">
      <x:c r="A6" s="11" t="str">
        <x:v>Lâm Đồng</x:v>
      </x:c>
      <x:c r="B6" s="11" t="str">
        <x:v>Đức Trọng</x:v>
      </x:c>
      <x:c r="C6" s="11" t="str">
        <x:v>xã Phú Hội</x:v>
      </x:c>
      <x:c r="D6" s="11" t="str">
        <x:v>Lâm Đồng</x:v>
      </x:c>
      <x:c r="E6" s="11" t="str">
        <x:v>xã Đức Trọng</x:v>
      </x:c>
      <x:c r="F6" s="11" t="str">
        <x:v>SRC-A-1671-2025</x:v>
      </x:c>
      <x:c r="G6" s="25" t="n">
        <x:v>46275</x:v>
      </x:c>
    </x:row>
    <x:row r="7">
      <x:c r="A7" s="11" t="str">
        <x:v>Lâm Đồng</x:v>
      </x:c>
      <x:c r="B7" s="11" t="str">
        <x:v>Đức Trọng</x:v>
      </x:c>
      <x:c r="C7" s="11" t="str">
        <x:v>xã Hiệp Thạnh</x:v>
      </x:c>
      <x:c r="D7" s="11" t="str">
        <x:v>Lâm Đồng</x:v>
      </x:c>
      <x:c r="E7" s="11" t="str">
        <x:v>xã Hiệp Thạnh</x:v>
      </x:c>
      <x:c r="F7" s="11" t="str">
        <x:v>SRC-A-1671-2025</x:v>
      </x:c>
      <x:c r="G7" s="25" t="n">
        <x:v>46275</x:v>
      </x:c>
    </x:row>
    <x:row r="8">
      <x:c r="A8" s="11" t="str">
        <x:v>Lâm Đồng</x:v>
      </x:c>
      <x:c r="B8" s="11" t="str">
        <x:v>Đức Trọng</x:v>
      </x:c>
      <x:c r="C8" s="11" t="str">
        <x:v>xã Liên Hiệp</x:v>
      </x:c>
      <x:c r="D8" s="11" t="str">
        <x:v>Lâm Đồng</x:v>
      </x:c>
      <x:c r="E8" s="11" t="str">
        <x:v>xã Hiệp Thạnh</x:v>
      </x:c>
      <x:c r="F8" s="11" t="str">
        <x:v>SRC-A-1671-2025</x:v>
      </x:c>
      <x:c r="G8" s="25" t="n">
        <x:v>46275</x:v>
      </x:c>
    </x:row>
    <x:row r="9">
      <x:c r="A9" s="11" t="str">
        <x:v>Lâm Đồng</x:v>
      </x:c>
      <x:c r="B9" s="11" t="str">
        <x:v>Đức Trọng</x:v>
      </x:c>
      <x:c r="C9" s="11" t="str">
        <x:v>xã Đà Loan</x:v>
      </x:c>
      <x:c r="D9" s="11" t="str">
        <x:v>Lâm Đồng</x:v>
      </x:c>
      <x:c r="E9" s="11" t="str">
        <x:v>xã Tà Hine</x:v>
      </x:c>
      <x:c r="F9" s="11" t="str">
        <x:v>SRC-A-1671-2025</x:v>
      </x:c>
      <x:c r="G9" s="25" t="n">
        <x:v>46275</x:v>
      </x:c>
    </x:row>
    <x:row r="10">
      <x:c r="A10" s="11" t="str">
        <x:v>Lâm Đồng</x:v>
      </x:c>
      <x:c r="B10" s="11" t="str">
        <x:v>Đức Trọng</x:v>
      </x:c>
      <x:c r="C10" s="11" t="str">
        <x:v>xã Bình Thạnh</x:v>
      </x:c>
      <x:c r="D10" s="11" t="str">
        <x:v>Lâm Đồng</x:v>
      </x:c>
      <x:c r="E10" s="11" t="str">
        <x:v>xã Đinh Văn Lâm Hà</x:v>
      </x:c>
      <x:c r="F10" s="11" t="str">
        <x:v>SRC-A-1671-2025</x:v>
      </x:c>
      <x:c r="G10" s="25" t="n">
        <x:v>46275</x:v>
      </x:c>
    </x:row>
    <x:row r="11">
      <x:c r="A11" s="11" t="str">
        <x:v>Đắk Nông</x:v>
      </x:c>
      <x:c r="B11" s="11" t="str">
        <x:v>Đắk Song</x:v>
      </x:c>
      <x:c r="C11" s="11" t="str">
        <x:v>xã Thuận Hà</x:v>
      </x:c>
      <x:c r="D11" s="11" t="str">
        <x:v>Lâm Đồng</x:v>
      </x:c>
      <x:c r="E11" s="11" t="str">
        <x:v>xã Thuận Hạnh</x:v>
      </x:c>
      <x:c r="F11" s="11" t="str">
        <x:v>SRC-A-1671-2025</x:v>
      </x:c>
      <x:c r="G11" s="25" t="n">
        <x:v>46275</x:v>
      </x:c>
    </x:row>
    <x:row r="12">
      <x:c r="A12" s="11" t="str">
        <x:v>Đắk Nông</x:v>
      </x:c>
      <x:c r="B12" s="11" t="str">
        <x:v>Đắk Song</x:v>
      </x:c>
      <x:c r="C12" s="11" t="str">
        <x:v>xã Thuận Hạnh</x:v>
      </x:c>
      <x:c r="D12" s="11" t="str">
        <x:v>Lâm Đồng</x:v>
      </x:c>
      <x:c r="E12" s="11" t="str">
        <x:v>xã Thuận Hạnh</x:v>
      </x:c>
      <x:c r="F12" s="11" t="str">
        <x:v>SRC-A-1671-2025</x:v>
      </x:c>
      <x:c r="G12" s="25" t="n">
        <x:v>46275</x:v>
      </x:c>
    </x:row>
    <x:row r="13">
      <x:c r="A13" s="11" t="str">
        <x:v>Đắk Nông</x:v>
      </x:c>
      <x:c r="B13" s="11" t="str">
        <x:v>Đắk Song</x:v>
      </x:c>
      <x:c r="C13" s="11" t="str">
        <x:v>xã Nam Bình</x:v>
      </x:c>
      <x:c r="D13" s="11" t="str">
        <x:v>Lâm Đồng</x:v>
      </x:c>
      <x:c r="E13" s="11" t="str">
        <x:v>xã Đức An</x:v>
      </x:c>
      <x:c r="F13" s="11" t="str">
        <x:v>SRC-A-1671-2025</x:v>
      </x:c>
      <x:c r="G13" s="25" t="n">
        <x:v>46275</x:v>
      </x:c>
    </x:row>
    <x:row r="14">
      <x:c r="A14" s="11" t="str">
        <x:v>Đắk Nông</x:v>
      </x:c>
      <x:c r="B14" s="11" t="str">
        <x:v>Đắk Song</x:v>
      </x:c>
      <x:c r="C14" s="11" t="str">
        <x:v>thị trấn Đức An</x:v>
      </x:c>
      <x:c r="D14" s="11" t="str">
        <x:v>Lâm Đồng</x:v>
      </x:c>
      <x:c r="E14" s="11" t="str">
        <x:v>xã Đức An</x:v>
      </x:c>
      <x:c r="F14" s="11" t="str">
        <x:v>SRC-A-1671-2025</x:v>
      </x:c>
      <x:c r="G14" s="25" t="n">
        <x:v>46275</x:v>
      </x:c>
    </x:row>
    <x:row r="15">
      <x:c r="A15" s="11" t="str">
        <x:v>Đắk Nông</x:v>
      </x:c>
      <x:c r="B15" s="11" t="str">
        <x:v>Cư Jút</x:v>
      </x:c>
      <x:c r="C15" s="11" t="str">
        <x:v>xã Nam Dong</x:v>
      </x:c>
      <x:c r="D15" s="11" t="str">
        <x:v>Lâm Đồng</x:v>
      </x:c>
      <x:c r="E15" s="11" t="str">
        <x:v>xã Nam Dong</x:v>
      </x:c>
      <x:c r="F15" s="11" t="str">
        <x:v>SRC-A-1671-2025</x:v>
      </x:c>
      <x:c r="G15" s="25" t="n">
        <x:v>46275</x:v>
      </x:c>
    </x:row>
    <x:row r="16">
      <x:c r="A16" s="11" t="str">
        <x:v>Đắk Nông</x:v>
      </x:c>
      <x:c r="B16" s="11" t="str">
        <x:v>Tuy Đức</x:v>
      </x:c>
      <x:c r="C16" s="11" t="str">
        <x:v>xã Quảng Trực</x:v>
      </x:c>
      <x:c r="D16" s="11" t="str">
        <x:v>Lâm Đồng</x:v>
      </x:c>
      <x:c r="E16" s="11" t="str">
        <x:v>xã Quảng Trực</x:v>
      </x:c>
      <x:c r="F16" s="11" t="str">
        <x:v>SRC-A-1671-2025</x:v>
      </x:c>
      <x:c r="G16" s="25" t="n">
        <x:v>46275</x:v>
      </x:c>
    </x:row>
    <x:row r="17">
      <x:c r="A17" s="11" t="str">
        <x:v>Đắk Nông</x:v>
      </x:c>
      <x:c r="B17" s="11" t="str">
        <x:v>Gia Nghĩa</x:v>
      </x:c>
      <x:c r="C17" s="11" t="str">
        <x:v>phường Nghĩa Trung</x:v>
      </x:c>
      <x:c r="D17" s="11" t="str">
        <x:v>Lâm Đồng</x:v>
      </x:c>
      <x:c r="E17" s="11" t="str">
        <x:v>phường Đông Gia Nghĩa</x:v>
      </x:c>
      <x:c r="F17" s="11" t="str">
        <x:v>SRC-A-1671-2025</x:v>
      </x:c>
      <x:c r="G17" s="25" t="n">
        <x:v>46275</x:v>
      </x:c>
    </x:row>
    <x:row r="18">
      <x:c r="A18" s="11" t="str">
        <x:v>Bình Thuận</x:v>
      </x:c>
      <x:c r="B18" s="11" t="str">
        <x:v>Phan Thiết</x:v>
      </x:c>
      <x:c r="C18" s="11" t="str">
        <x:v>phường Phú Hài</x:v>
      </x:c>
      <x:c r="D18" s="11" t="str">
        <x:v>Lâm Đồng</x:v>
      </x:c>
      <x:c r="E18" s="11" t="str">
        <x:v>phường Phú Thủy</x:v>
      </x:c>
      <x:c r="F18" s="11" t="str">
        <x:v>SRC-A-1671-2025</x:v>
      </x:c>
      <x:c r="G18" s="25" t="n">
        <x:v>46275</x:v>
      </x:c>
    </x:row>
    <x:row r="19">
      <x:c r="A19" s="11" t="str">
        <x:v>Bình Thuận</x:v>
      </x:c>
      <x:c r="B19" s="11" t="str">
        <x:v>Đức Linh</x:v>
      </x:c>
      <x:c r="C19" s="11" t="str">
        <x:v>xã Trà Tân</x:v>
      </x:c>
      <x:c r="D19" s="11" t="str">
        <x:v>Lâm Đồng</x:v>
      </x:c>
      <x:c r="E19" s="11" t="str">
        <x:v>xã Trà Tân</x:v>
      </x:c>
      <x:c r="F19" s="11" t="str">
        <x:v>SRC-A-1671-2025</x:v>
      </x:c>
      <x:c r="G19" s="25" t="n">
        <x:v>46275</x:v>
      </x:c>
    </x:row>
    <x:row r="20">
      <x:c r="A20" s="11" t="str">
        <x:v>Bình Thuận</x:v>
      </x:c>
      <x:c r="B20" s="11" t="str">
        <x:v>Tánh Linh</x:v>
      </x:c>
      <x:c r="C20" s="11" t="str">
        <x:v>xã Gia Huynh</x:v>
      </x:c>
      <x:c r="D20" s="11" t="str">
        <x:v>Lâm Đồng</x:v>
      </x:c>
      <x:c r="E20" s="11" t="str">
        <x:v>xã Suối Kiết</x:v>
      </x:c>
      <x:c r="F20" s="11" t="str">
        <x:v>SRC-A-1671-2025</x:v>
      </x:c>
      <x:c r="G20" s="25" t="n">
        <x:v>46275</x:v>
      </x:c>
    </x:row>
    <x:row r="21">
      <x:c r="A21" s="11" t="str">
        <x:v>Bình Thuận</x:v>
      </x:c>
      <x:c r="B21" s="11" t="str">
        <x:v>Tánh Linh</x:v>
      </x:c>
      <x:c r="C21" s="11" t="str">
        <x:v>xã Bắc Ruộng</x:v>
      </x:c>
      <x:c r="D21" s="11" t="str">
        <x:v>Lâm Đồng</x:v>
      </x:c>
      <x:c r="E21" s="11" t="str">
        <x:v>xã Bắc Ruộng</x:v>
      </x:c>
      <x:c r="F21" s="11" t="str">
        <x:v>SRC-A-1671-2025</x:v>
      </x:c>
      <x:c r="G21" s="25" t="n">
        <x:v>46275</x:v>
      </x:c>
    </x:row>
    <x:row r="22">
      <x:c r="A22" s="11" t="str">
        <x:v>Bình Thuận</x:v>
      </x:c>
      <x:c r="B22" s="11" t="str">
        <x:v>Tánh Linh</x:v>
      </x:c>
      <x:c r="C22" s="11" t="str">
        <x:v>xã Gia An</x:v>
      </x:c>
      <x:c r="D22" s="11" t="str">
        <x:v>Lâm Đồng</x:v>
      </x:c>
      <x:c r="E22" s="11" t="str">
        <x:v>xã Tánh Linh</x:v>
      </x:c>
      <x:c r="F22" s="11" t="str">
        <x:v>SRC-A-1671-2025</x:v>
      </x:c>
      <x:c r="G22" s="25" t="n">
        <x:v>46275</x:v>
      </x:c>
    </x:row>
  </x:sheetData>
  <x:mergeCells>
    <x:mergeCell ref="A1:G1"/>
    <x:mergeCell ref="A2:G2"/>
  </x:mergeCells>
  <x:pageMargins left="0.7" right="0.7" top="0.75" bottom="0.75" header="0.3" footer="0.3"/>
  <x:tableParts count="1">
    <x:tablePart xmlns:r="http://schemas.openxmlformats.org/officeDocument/2006/relationships" r:id="R2917037197dd4051"/>
  </x:tableParts>
</x:worksheet>
</file>

<file path=xl/worksheets/sheet5.xml><?xml version="1.0" encoding="utf-8"?>
<x:worksheet xmlns:x="http://schemas.openxmlformats.org/spreadsheetml/2006/main">
  <x:sheetPr>
    <x:tabColor rgb="FFD13438"/>
  </x:sheetPr>
  <x:sheetViews>
    <x:sheetView showGridLines="0"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52" hidden="0" customWidth="1"/>
    <x:col min="6" max="6" width="52" hidden="0" customWidth="1"/>
    <x:col min="7" max="7" width="22" hidden="0" customWidth="1"/>
    <x:col min="8" max="8" width="22" hidden="0" customWidth="1"/>
  </x:cols>
  <x:sheetData>
    <x:row r="1" ht="34" customHeight="1">
      <x:c r="A1" s="3" t="str">
        <x:v>CÁC VẤN ĐỀ CẦN XÁC MINH</x:v>
      </x:c>
      <x:c r="B1" s="3"/>
      <x:c r="C1" s="3"/>
      <x:c r="D1" s="3"/>
      <x:c r="E1" s="3"/>
      <x:c r="F1" s="3"/>
      <x:c r="G1" s="3"/>
      <x:c r="H1" s="3"/>
    </x:row>
    <x:row r="2" ht="30" customHeight="1">
      <x:c r="A2" s="7" t="str">
        <x:v>Danh sách này ngăn dữ liệu chưa đủ chứng cứ bị hiểu nhầm là dữ liệu hành chính chính thức.</x:v>
      </x:c>
      <x:c r="B2" s="7"/>
      <x:c r="C2" s="7"/>
      <x:c r="D2" s="7"/>
      <x:c r="E2" s="7"/>
      <x:c r="F2" s="7"/>
      <x:c r="G2" s="7"/>
      <x:c r="H2" s="7"/>
    </x:row>
    <x:row r="4" ht="34" customHeight="1">
      <x:c r="A4" s="18" t="str">
        <x:v>issue_id</x:v>
      </x:c>
      <x:c r="B4" s="18" t="str">
        <x:v>record_or_batch</x:v>
      </x:c>
      <x:c r="C4" s="18" t="str">
        <x:v>issue_type</x:v>
      </x:c>
      <x:c r="D4" s="18" t="str">
        <x:v>severity</x:v>
      </x:c>
      <x:c r="E4" s="18" t="str">
        <x:v>description</x:v>
      </x:c>
      <x:c r="F4" s="18" t="str">
        <x:v>recommended_action</x:v>
      </x:c>
      <x:c r="G4" s="18" t="str">
        <x:v>source_id</x:v>
      </x:c>
      <x:c r="H4" s="18" t="str">
        <x:v>status</x:v>
      </x:c>
    </x:row>
    <x:row r="5">
      <x:c r="A5" s="11" t="str">
        <x:v>ISSUE-1</x:v>
      </x:c>
      <x:c r="B5" s="11" t="str">
        <x:v>DUCTRONG-2025</x:v>
      </x:c>
      <x:c r="C5" s="11" t="str">
        <x:v>Thiếu quyết định</x:v>
      </x:c>
      <x:c r="D5" s="11" t="str">
        <x:v>Cao</x:v>
      </x:c>
      <x:c r="E5" s="11" t="str">
        <x:v>Chưa tìm được số và phụ lục quyết định gốc.</x:v>
      </x:c>
      <x:c r="F5" s="11" t="str">
        <x:v>Tìm tại cổng văn bản/cơ quan ban hành; chưa tự suy luận ngày cấp.</x:v>
      </x:c>
      <x:c r="G5" s="11" t="str">
        <x:v>SRC-B1-DUCTRONG-2025</x:v>
      </x:c>
      <x:c r="H5" s="11" t="str">
        <x:v>open</x:v>
      </x:c>
    </x:row>
    <x:row r="6">
      <x:c r="A6" s="11" t="str">
        <x:v>ISSUE-2</x:v>
      </x:c>
      <x:c r="B6" s="11" t="str">
        <x:v>DUCTRONG-2025</x:v>
      </x:c>
      <x:c r="C6" s="11" t="str">
        <x:v>Thiếu ngày cấp</x:v>
      </x:c>
      <x:c r="D6" s="11" t="str">
        <x:v>Cao</x:v>
      </x:c>
      <x:c r="E6" s="11" t="str">
        <x:v>Nguồn chỉ nêu ngày đăng hoặc ngày trao chứng nhận.</x:v>
      </x:c>
      <x:c r="F6" s="11" t="str">
        <x:v>Để trống cert_issued_at và cert_expires_at cho đến khi có quyết định.</x:v>
      </x:c>
      <x:c r="G6" s="11" t="str">
        <x:v>SRC-B1-DUCTRONG-2025</x:v>
      </x:c>
      <x:c r="H6" s="11" t="str">
        <x:v>open</x:v>
      </x:c>
    </x:row>
    <x:row r="7">
      <x:c r="A7" s="11" t="str">
        <x:v>ISSUE-3</x:v>
      </x:c>
      <x:c r="B7" s="11" t="str">
        <x:v>TANHLINH-2025</x:v>
      </x:c>
      <x:c r="C7" s="11" t="str">
        <x:v>Thiếu quyết định</x:v>
      </x:c>
      <x:c r="D7" s="11" t="str">
        <x:v>Cao</x:v>
      </x:c>
      <x:c r="E7" s="11" t="str">
        <x:v>Chưa tìm được số và phụ lục quyết định gốc.</x:v>
      </x:c>
      <x:c r="F7" s="11" t="str">
        <x:v>Tìm tại cổng văn bản/cơ quan ban hành; chưa tự suy luận ngày cấp.</x:v>
      </x:c>
      <x:c r="G7" s="11" t="str">
        <x:v>SRC-B1-TANHLINH-2025</x:v>
      </x:c>
      <x:c r="H7" s="11" t="str">
        <x:v>open</x:v>
      </x:c>
    </x:row>
    <x:row r="8">
      <x:c r="A8" s="11" t="str">
        <x:v>ISSUE-4</x:v>
      </x:c>
      <x:c r="B8" s="11" t="str">
        <x:v>TANHLINH-2025</x:v>
      </x:c>
      <x:c r="C8" s="11" t="str">
        <x:v>Thiếu ngày cấp</x:v>
      </x:c>
      <x:c r="D8" s="11" t="str">
        <x:v>Cao</x:v>
      </x:c>
      <x:c r="E8" s="11" t="str">
        <x:v>Nguồn chỉ nêu ngày đăng hoặc ngày trao chứng nhận.</x:v>
      </x:c>
      <x:c r="F8" s="11" t="str">
        <x:v>Để trống cert_issued_at và cert_expires_at cho đến khi có quyết định.</x:v>
      </x:c>
      <x:c r="G8" s="11" t="str">
        <x:v>SRC-B1-TANHLINH-2025</x:v>
      </x:c>
      <x:c r="H8" s="11" t="str">
        <x:v>open</x:v>
      </x:c>
    </x:row>
    <x:row r="9">
      <x:c r="A9" s="11" t="str">
        <x:v>ISSUE-5</x:v>
      </x:c>
      <x:c r="B9" s="11" t="str">
        <x:v>BINHTHUAN-21-2025</x:v>
      </x:c>
      <x:c r="C9" s="11" t="str">
        <x:v>Thiếu quyết định</x:v>
      </x:c>
      <x:c r="D9" s="11" t="str">
        <x:v>Cao</x:v>
      </x:c>
      <x:c r="E9" s="11" t="str">
        <x:v>Chưa tìm được số và phụ lục quyết định gốc.</x:v>
      </x:c>
      <x:c r="F9" s="11" t="str">
        <x:v>Tìm tại cổng văn bản/cơ quan ban hành; chưa tự suy luận ngày cấp.</x:v>
      </x:c>
      <x:c r="G9" s="11" t="str">
        <x:v>SRC-B1-BINHTHUAN-2025</x:v>
      </x:c>
      <x:c r="H9" s="11" t="str">
        <x:v>open</x:v>
      </x:c>
    </x:row>
    <x:row r="10">
      <x:c r="A10" s="11" t="str">
        <x:v>ISSUE-6</x:v>
      </x:c>
      <x:c r="B10" s="11" t="str">
        <x:v>BINHTHUAN-21-2025</x:v>
      </x:c>
      <x:c r="C10" s="11" t="str">
        <x:v>Thiếu ngày cấp</x:v>
      </x:c>
      <x:c r="D10" s="11" t="str">
        <x:v>Cao</x:v>
      </x:c>
      <x:c r="E10" s="11" t="str">
        <x:v>Nguồn chỉ nêu ngày đăng hoặc ngày trao chứng nhận.</x:v>
      </x:c>
      <x:c r="F10" s="11" t="str">
        <x:v>Để trống cert_issued_at và cert_expires_at cho đến khi có quyết định.</x:v>
      </x:c>
      <x:c r="G10" s="11" t="str">
        <x:v>SRC-B1-BINHTHUAN-2025</x:v>
      </x:c>
      <x:c r="H10" s="11" t="str">
        <x:v>open</x:v>
      </x:c>
    </x:row>
    <x:row r="11">
      <x:c r="A11" s="11" t="str">
        <x:v>ISSUE-7</x:v>
      </x:c>
      <x:c r="B11" s="11" t="str">
        <x:v>OCOP-2025-BT-003</x:v>
      </x:c>
      <x:c r="C11" s="11" t="str">
        <x:v>Thiếu xã/phường hiện tại</x:v>
      </x:c>
      <x:c r="D11" s="11" t="str">
        <x:v>Trung bình</x:v>
      </x:c>
      <x:c r="E11" s="11" t="str">
        <x:v>Nguồn B1 chỉ nêu thành phố Phan Thiết; chưa xác định địa chỉ cấp xã trong hồ sơ công nhận.</x:v>
      </x:c>
      <x:c r="F11" s="11" t="str">
        <x:v>Xác minh từ hồ sơ chủ thể hoặc phụ lục quyết định.</x:v>
      </x:c>
      <x:c r="G11" s="11" t="str">
        <x:v>SRC-B1-BINHTHUAN-2025</x:v>
      </x:c>
      <x:c r="H11" s="11" t="str">
        <x:v>open</x:v>
      </x:c>
    </x:row>
    <x:row r="12">
      <x:c r="A12" s="11" t="str">
        <x:v>ISSUE-8</x:v>
      </x:c>
      <x:c r="B12" s="11" t="str">
        <x:v>OCOP-2025-BT-004</x:v>
      </x:c>
      <x:c r="C12" s="11" t="str">
        <x:v>Thiếu xã/phường hiện tại</x:v>
      </x:c>
      <x:c r="D12" s="11" t="str">
        <x:v>Trung bình</x:v>
      </x:c>
      <x:c r="E12" s="11" t="str">
        <x:v>Nguồn B1 chỉ nêu thành phố Phan Thiết; chưa xác định địa chỉ cấp xã trong hồ sơ công nhận.</x:v>
      </x:c>
      <x:c r="F12" s="11" t="str">
        <x:v>Xác minh từ hồ sơ chủ thể hoặc phụ lục quyết định.</x:v>
      </x:c>
      <x:c r="G12" s="11" t="str">
        <x:v>SRC-B1-BINHTHUAN-2025</x:v>
      </x:c>
      <x:c r="H12" s="11" t="str">
        <x:v>open</x:v>
      </x:c>
    </x:row>
    <x:row r="13">
      <x:c r="A13" s="11" t="str">
        <x:v>ISSUE-9</x:v>
      </x:c>
      <x:c r="B13" s="11" t="str">
        <x:v>TOAN-BO-DU-LIEU</x:v>
      </x:c>
      <x:c r="C13" s="11" t="str">
        <x:v>Ảnh chưa rõ quyền sử dụng</x:v>
      </x:c>
      <x:c r="D13" s="11" t="str">
        <x:v>Trung bình</x:v>
      </x:c>
      <x:c r="E13" s="11" t="str">
        <x:v>Không sử dụng ảnh báo chí hoặc ảnh chủ thể khi chưa có giấy phép rõ ràng.</x:v>
      </x:c>
      <x:c r="F13" s="11" t="str">
        <x:v>Dùng placeholder; thay bằng ảnh do chủ thể cung cấp hoặc được cấp phép.</x:v>
      </x:c>
      <x:c r="G13" s="11" t="str"/>
      <x:c r="H13" s="11" t="str">
        <x:v>controlled</x:v>
      </x:c>
    </x:row>
    <x:row r="14">
      <x:c r="A14" s="11" t="str">
        <x:v>ISSUE-10</x:v>
      </x:c>
      <x:c r="B14" s="11" t="str">
        <x:v>TANHLINH-2025</x:v>
      </x:c>
      <x:c r="C14" s="11" t="str">
        <x:v>Năm chứng nhận ngoài khoảng</x:v>
      </x:c>
      <x:c r="D14" s="11" t="str">
        <x:v>Thấp</x:v>
      </x:c>
      <x:c r="E14" s="11" t="str">
        <x:v>Ba sản phẩm được bài năm 2025 nêu là công nhận trong đợt cuối năm 2024.</x:v>
      </x:c>
      <x:c r="F14" s="11" t="str">
        <x:v>Giữ cert_year=2024 và ghi chú minh bạch; không đổi thành 2025.</x:v>
      </x:c>
      <x:c r="G14" s="11" t="str">
        <x:v>SRC-B1-TANHLINH-2025</x:v>
      </x:c>
      <x:c r="H14" s="11" t="str">
        <x:v>documented</x:v>
      </x:c>
    </x:row>
  </x:sheetData>
  <x:mergeCells>
    <x:mergeCell ref="A1:H1"/>
    <x:mergeCell ref="A2:H2"/>
  </x:mergeCells>
  <x:conditionalFormatting sqref="D1:D1">
    <x:cfRule type="containsText" dxfId="0" priority="1" operator="containsText" text="Cao"/>
    <x:cfRule type="containsText" dxfId="1" priority="2" operator="containsText" text="Trung bình"/>
  </x:conditionalFormatting>
  <x:pageMargins left="0.7" right="0.7" top="0.75" bottom="0.75" header="0.3" footer="0.3"/>
  <x:tableParts count="1">
    <x:tablePart xmlns:r="http://schemas.openxmlformats.org/officeDocument/2006/relationships" r:id="R0632712923194790"/>
  </x:tableParts>
</x:worksheet>
</file>